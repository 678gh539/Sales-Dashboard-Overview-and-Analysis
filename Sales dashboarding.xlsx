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Gonz999\Downloads\"/>
    </mc:Choice>
  </mc:AlternateContent>
  <xr:revisionPtr revIDLastSave="0" documentId="13_ncr:20001_{3FBB6FFB-7D0D-42A2-A323-2D3676F8DEDB}" xr6:coauthVersionLast="47" xr6:coauthVersionMax="47" xr10:uidLastSave="{00000000-0000-0000-0000-000000000000}"/>
  <bookViews>
    <workbookView xWindow="-108" yWindow="-108" windowWidth="23256" windowHeight="12576" activeTab="3" xr2:uid="{00000000-000D-0000-FFFF-FFFF00000000}"/>
  </bookViews>
  <sheets>
    <sheet name="Dashboarding of sales" sheetId="5" r:id="rId1"/>
    <sheet name="product_name" sheetId="7" r:id="rId2"/>
    <sheet name="dashboard" sheetId="8" r:id="rId3"/>
    <sheet name="Order status" sheetId="9" r:id="rId4"/>
    <sheet name="orders" sheetId="1" r:id="rId5"/>
    <sheet name="customers" sheetId="2" r:id="rId6"/>
    <sheet name="products" sheetId="3" r:id="rId7"/>
  </sheets>
  <definedNames>
    <definedName name="NativeTimeline_order_date">#N/A</definedName>
    <definedName name="Slicer_order_status">#N/A</definedName>
    <definedName name="Slicer_product_name">#N/A</definedName>
  </definedNames>
  <calcPr calcId="191029"/>
  <pivotCaches>
    <pivotCache cacheId="31" r:id="rId8"/>
  </pivotCaches>
  <fileRecoveryPr repairLoad="1"/>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 l="1"/>
  <c r="J3" i="1"/>
  <c r="K3" i="1"/>
  <c r="L3" i="1"/>
  <c r="M3" i="1"/>
  <c r="I4" i="1"/>
  <c r="J4" i="1"/>
  <c r="K4" i="1"/>
  <c r="L4" i="1"/>
  <c r="M4" i="1"/>
  <c r="I5" i="1"/>
  <c r="J5" i="1"/>
  <c r="K5" i="1"/>
  <c r="L5" i="1"/>
  <c r="M5" i="1"/>
  <c r="I6" i="1"/>
  <c r="J6" i="1"/>
  <c r="K6" i="1"/>
  <c r="L6" i="1"/>
  <c r="M6" i="1"/>
  <c r="I7" i="1"/>
  <c r="J7" i="1"/>
  <c r="K7" i="1"/>
  <c r="L7" i="1"/>
  <c r="M7" i="1"/>
  <c r="I8" i="1"/>
  <c r="J8" i="1"/>
  <c r="K8" i="1"/>
  <c r="L8" i="1"/>
  <c r="M8" i="1"/>
  <c r="I9" i="1"/>
  <c r="J9" i="1"/>
  <c r="K9" i="1"/>
  <c r="L9" i="1"/>
  <c r="M9" i="1"/>
  <c r="I10" i="1"/>
  <c r="J10" i="1"/>
  <c r="K10" i="1"/>
  <c r="L10" i="1"/>
  <c r="M10" i="1"/>
  <c r="I11" i="1"/>
  <c r="J11" i="1"/>
  <c r="K11" i="1"/>
  <c r="L11" i="1"/>
  <c r="M11" i="1"/>
  <c r="I12" i="1"/>
  <c r="J12" i="1"/>
  <c r="K12" i="1"/>
  <c r="L12" i="1"/>
  <c r="M12" i="1"/>
  <c r="I13" i="1"/>
  <c r="J13" i="1"/>
  <c r="K13" i="1"/>
  <c r="L13" i="1"/>
  <c r="M13" i="1"/>
  <c r="I14" i="1"/>
  <c r="J14" i="1"/>
  <c r="K14" i="1"/>
  <c r="L14" i="1"/>
  <c r="M14" i="1"/>
  <c r="I15" i="1"/>
  <c r="J15" i="1"/>
  <c r="K15" i="1"/>
  <c r="L15" i="1"/>
  <c r="M15" i="1"/>
  <c r="I16" i="1"/>
  <c r="J16" i="1"/>
  <c r="K16" i="1"/>
  <c r="L16" i="1"/>
  <c r="M16" i="1"/>
  <c r="I17" i="1"/>
  <c r="J17" i="1"/>
  <c r="K17" i="1"/>
  <c r="L17" i="1"/>
  <c r="M17" i="1"/>
  <c r="I18" i="1"/>
  <c r="J18" i="1"/>
  <c r="K18" i="1"/>
  <c r="L18" i="1"/>
  <c r="M18" i="1"/>
  <c r="I19" i="1"/>
  <c r="J19" i="1"/>
  <c r="K19" i="1"/>
  <c r="L19" i="1"/>
  <c r="M19" i="1"/>
  <c r="I20" i="1"/>
  <c r="J20" i="1"/>
  <c r="K20" i="1"/>
  <c r="L20" i="1"/>
  <c r="M20" i="1"/>
  <c r="I21" i="1"/>
  <c r="J21" i="1"/>
  <c r="K21" i="1"/>
  <c r="L21" i="1"/>
  <c r="M21" i="1"/>
  <c r="I22" i="1"/>
  <c r="J22" i="1"/>
  <c r="K22" i="1"/>
  <c r="L22" i="1"/>
  <c r="M22" i="1"/>
  <c r="I23" i="1"/>
  <c r="J23" i="1"/>
  <c r="K23" i="1"/>
  <c r="L23" i="1"/>
  <c r="M23" i="1"/>
  <c r="I24" i="1"/>
  <c r="J24" i="1"/>
  <c r="K24" i="1"/>
  <c r="L24" i="1"/>
  <c r="M24" i="1"/>
  <c r="I25" i="1"/>
  <c r="J25" i="1"/>
  <c r="K25" i="1"/>
  <c r="L25" i="1"/>
  <c r="M25" i="1"/>
  <c r="I26" i="1"/>
  <c r="J26" i="1"/>
  <c r="K26" i="1"/>
  <c r="L26" i="1"/>
  <c r="M26" i="1"/>
  <c r="I27" i="1"/>
  <c r="J27" i="1"/>
  <c r="K27" i="1"/>
  <c r="L27" i="1"/>
  <c r="M27" i="1"/>
  <c r="I28" i="1"/>
  <c r="J28" i="1"/>
  <c r="K28" i="1"/>
  <c r="L28" i="1"/>
  <c r="M28" i="1"/>
  <c r="I29" i="1"/>
  <c r="J29" i="1"/>
  <c r="K29" i="1"/>
  <c r="L29" i="1"/>
  <c r="M29" i="1"/>
  <c r="I30" i="1"/>
  <c r="J30" i="1"/>
  <c r="K30" i="1"/>
  <c r="L30" i="1"/>
  <c r="M30" i="1"/>
  <c r="I31" i="1"/>
  <c r="J31" i="1"/>
  <c r="K31" i="1"/>
  <c r="L31" i="1"/>
  <c r="M31" i="1"/>
  <c r="I32" i="1"/>
  <c r="J32" i="1"/>
  <c r="K32" i="1"/>
  <c r="L32" i="1"/>
  <c r="M32" i="1"/>
  <c r="I33" i="1"/>
  <c r="J33" i="1"/>
  <c r="K33" i="1"/>
  <c r="L33" i="1"/>
  <c r="M33" i="1"/>
  <c r="I34" i="1"/>
  <c r="J34" i="1"/>
  <c r="K34" i="1"/>
  <c r="L34" i="1"/>
  <c r="M34" i="1"/>
  <c r="I35" i="1"/>
  <c r="J35" i="1"/>
  <c r="K35" i="1"/>
  <c r="L35" i="1"/>
  <c r="M35" i="1"/>
  <c r="I36" i="1"/>
  <c r="J36" i="1"/>
  <c r="K36" i="1"/>
  <c r="L36" i="1"/>
  <c r="M36" i="1"/>
  <c r="I37" i="1"/>
  <c r="J37" i="1"/>
  <c r="K37" i="1"/>
  <c r="L37" i="1"/>
  <c r="M37" i="1"/>
  <c r="I38" i="1"/>
  <c r="J38" i="1"/>
  <c r="K38" i="1"/>
  <c r="L38" i="1"/>
  <c r="M38" i="1"/>
  <c r="I39" i="1"/>
  <c r="J39" i="1"/>
  <c r="K39" i="1"/>
  <c r="L39" i="1"/>
  <c r="M39" i="1"/>
  <c r="I40" i="1"/>
  <c r="J40" i="1"/>
  <c r="K40" i="1"/>
  <c r="L40" i="1"/>
  <c r="M40" i="1"/>
  <c r="I41" i="1"/>
  <c r="J41" i="1"/>
  <c r="K41" i="1"/>
  <c r="L41" i="1"/>
  <c r="M41" i="1"/>
  <c r="I42" i="1"/>
  <c r="J42" i="1"/>
  <c r="K42" i="1"/>
  <c r="L42" i="1"/>
  <c r="M42" i="1"/>
  <c r="I43" i="1"/>
  <c r="J43" i="1"/>
  <c r="K43" i="1"/>
  <c r="L43" i="1"/>
  <c r="M43" i="1"/>
  <c r="I44" i="1"/>
  <c r="J44" i="1"/>
  <c r="K44" i="1"/>
  <c r="L44" i="1"/>
  <c r="M44" i="1"/>
  <c r="I45" i="1"/>
  <c r="J45" i="1"/>
  <c r="K45" i="1"/>
  <c r="L45" i="1"/>
  <c r="M45" i="1"/>
  <c r="I46" i="1"/>
  <c r="J46" i="1"/>
  <c r="K46" i="1"/>
  <c r="L46" i="1"/>
  <c r="M46" i="1"/>
  <c r="I47" i="1"/>
  <c r="J47" i="1"/>
  <c r="K47" i="1"/>
  <c r="L47" i="1"/>
  <c r="M47" i="1"/>
  <c r="I48" i="1"/>
  <c r="J48" i="1"/>
  <c r="K48" i="1"/>
  <c r="L48" i="1"/>
  <c r="M48" i="1"/>
  <c r="I49" i="1"/>
  <c r="J49" i="1"/>
  <c r="K49" i="1"/>
  <c r="L49" i="1"/>
  <c r="M49" i="1"/>
  <c r="I50" i="1"/>
  <c r="J50" i="1"/>
  <c r="K50" i="1"/>
  <c r="L50" i="1"/>
  <c r="M50" i="1"/>
  <c r="I51" i="1"/>
  <c r="J51" i="1"/>
  <c r="K51" i="1"/>
  <c r="L51" i="1"/>
  <c r="M51" i="1"/>
  <c r="I52" i="1"/>
  <c r="J52" i="1"/>
  <c r="K52" i="1"/>
  <c r="L52" i="1"/>
  <c r="M52" i="1"/>
  <c r="I53" i="1"/>
  <c r="J53" i="1"/>
  <c r="K53" i="1"/>
  <c r="L53" i="1"/>
  <c r="N53" i="1" s="1"/>
  <c r="M53"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L2" i="1"/>
  <c r="N2" i="1" s="1"/>
  <c r="J2" i="1"/>
  <c r="K2" i="1"/>
  <c r="M2" i="1"/>
  <c r="I2" i="1"/>
  <c r="H53"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2"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2" i="2"/>
</calcChain>
</file>

<file path=xl/sharedStrings.xml><?xml version="1.0" encoding="utf-8"?>
<sst xmlns="http://schemas.openxmlformats.org/spreadsheetml/2006/main" count="352" uniqueCount="288">
  <si>
    <t>order_id</t>
  </si>
  <si>
    <t>customer_id</t>
  </si>
  <si>
    <t>order_date</t>
  </si>
  <si>
    <t>order_status</t>
  </si>
  <si>
    <t>Processing</t>
  </si>
  <si>
    <t>Delivered</t>
  </si>
  <si>
    <t>Cancelled</t>
  </si>
  <si>
    <t>Shipped</t>
  </si>
  <si>
    <t>Pending</t>
  </si>
  <si>
    <t>first_name</t>
  </si>
  <si>
    <t>last_name</t>
  </si>
  <si>
    <t>email</t>
  </si>
  <si>
    <t>phone</t>
  </si>
  <si>
    <t>address</t>
  </si>
  <si>
    <t>full_name</t>
  </si>
  <si>
    <t>John</t>
  </si>
  <si>
    <t>Doe</t>
  </si>
  <si>
    <t>john.doe@gmail.com</t>
  </si>
  <si>
    <t>Manila</t>
  </si>
  <si>
    <t>Mary</t>
  </si>
  <si>
    <t>Smith</t>
  </si>
  <si>
    <t>mary.smith@gmail.com</t>
  </si>
  <si>
    <t>Quezon City</t>
  </si>
  <si>
    <t>Michael</t>
  </si>
  <si>
    <t>Johnson</t>
  </si>
  <si>
    <t>michael.johnson@gmail.com</t>
  </si>
  <si>
    <t>Cebu City</t>
  </si>
  <si>
    <t>Sarah</t>
  </si>
  <si>
    <t>Williams</t>
  </si>
  <si>
    <t>sarah.williams@gmail.com</t>
  </si>
  <si>
    <t>Davao City</t>
  </si>
  <si>
    <t>David</t>
  </si>
  <si>
    <t>Brown</t>
  </si>
  <si>
    <t>david.brown@gmail.com</t>
  </si>
  <si>
    <t>Makati</t>
  </si>
  <si>
    <t>Emily</t>
  </si>
  <si>
    <t>Jones</t>
  </si>
  <si>
    <t>emily.jones@gmail.com</t>
  </si>
  <si>
    <t>Pasig</t>
  </si>
  <si>
    <t>James</t>
  </si>
  <si>
    <t>Garcia</t>
  </si>
  <si>
    <t>james.garcia@gmail.com</t>
  </si>
  <si>
    <t>Taguig</t>
  </si>
  <si>
    <t>Olivia</t>
  </si>
  <si>
    <t>Miller</t>
  </si>
  <si>
    <t>olivia.miller@gmail.com</t>
  </si>
  <si>
    <t>Baguio</t>
  </si>
  <si>
    <t>Daniel</t>
  </si>
  <si>
    <t>Davis</t>
  </si>
  <si>
    <t>daniel.davis@gmail.com</t>
  </si>
  <si>
    <t>Iloilo</t>
  </si>
  <si>
    <t>Sophia</t>
  </si>
  <si>
    <t>Wilson</t>
  </si>
  <si>
    <t>sophia.wilson@gmail.com</t>
  </si>
  <si>
    <t>Bacolod</t>
  </si>
  <si>
    <t>Ethan</t>
  </si>
  <si>
    <t>Moore</t>
  </si>
  <si>
    <t>ethan.moore@gmail.com</t>
  </si>
  <si>
    <t>Cagayan de Oro</t>
  </si>
  <si>
    <t>Ava</t>
  </si>
  <si>
    <t>Taylor</t>
  </si>
  <si>
    <t>ava.taylor@gmail.com</t>
  </si>
  <si>
    <t>General Santos</t>
  </si>
  <si>
    <t>Noah</t>
  </si>
  <si>
    <t>Anderson</t>
  </si>
  <si>
    <t>noah.anderson@gmail.com</t>
  </si>
  <si>
    <t>Angeles</t>
  </si>
  <si>
    <t>Isabella</t>
  </si>
  <si>
    <t>Thomas</t>
  </si>
  <si>
    <t>isabella.thomas@gmail.com</t>
  </si>
  <si>
    <t>Antipolo</t>
  </si>
  <si>
    <t>Liam</t>
  </si>
  <si>
    <t>Jackson</t>
  </si>
  <si>
    <t>liam.jackson@gmail.com</t>
  </si>
  <si>
    <t>Batangas</t>
  </si>
  <si>
    <t>Mia</t>
  </si>
  <si>
    <t>White</t>
  </si>
  <si>
    <t>mia.white@gmail.com</t>
  </si>
  <si>
    <t>Calamba</t>
  </si>
  <si>
    <t>Lucas</t>
  </si>
  <si>
    <t>Harris</t>
  </si>
  <si>
    <t>lucas.harris@gmail.com</t>
  </si>
  <si>
    <t>Dasmariñas</t>
  </si>
  <si>
    <t>Charlotte</t>
  </si>
  <si>
    <t>Martin</t>
  </si>
  <si>
    <t>charlotte.martin@gmail.com</t>
  </si>
  <si>
    <t>Lipa</t>
  </si>
  <si>
    <t>Benjamin</t>
  </si>
  <si>
    <t>Thompson</t>
  </si>
  <si>
    <t>benjamin.thompson@gmail.com</t>
  </si>
  <si>
    <t>Naga</t>
  </si>
  <si>
    <t>Amelia</t>
  </si>
  <si>
    <t>Martinez</t>
  </si>
  <si>
    <t>amelia.martinez@gmail.com</t>
  </si>
  <si>
    <t>Tacloban</t>
  </si>
  <si>
    <t>Henry</t>
  </si>
  <si>
    <t>Robinson</t>
  </si>
  <si>
    <t>henry.robinson@gmail.com</t>
  </si>
  <si>
    <t>Ormoc</t>
  </si>
  <si>
    <t>Evelyn</t>
  </si>
  <si>
    <t>Clark</t>
  </si>
  <si>
    <t>evelyn.clark@gmail.com</t>
  </si>
  <si>
    <t>Puerto Princesa</t>
  </si>
  <si>
    <t>Alexander</t>
  </si>
  <si>
    <t>Rodriguez</t>
  </si>
  <si>
    <t>alexander.rodriguez@gmail.com</t>
  </si>
  <si>
    <t>Legazpi</t>
  </si>
  <si>
    <t>Harper</t>
  </si>
  <si>
    <t>Lewis</t>
  </si>
  <si>
    <t>harper.lewis@gmail.com</t>
  </si>
  <si>
    <t>Dumaguete</t>
  </si>
  <si>
    <t>William</t>
  </si>
  <si>
    <t>Lee</t>
  </si>
  <si>
    <t>william.lee@gmail.com</t>
  </si>
  <si>
    <t>Zamboanga</t>
  </si>
  <si>
    <t>Ella</t>
  </si>
  <si>
    <t>Walker</t>
  </si>
  <si>
    <t>ella.walker@gmail.com</t>
  </si>
  <si>
    <t>Butuan</t>
  </si>
  <si>
    <t>Jacob</t>
  </si>
  <si>
    <t>Hall</t>
  </si>
  <si>
    <t>jacob.hall@gmail.com</t>
  </si>
  <si>
    <t>San Fernando</t>
  </si>
  <si>
    <t>Abigail</t>
  </si>
  <si>
    <t>Allen</t>
  </si>
  <si>
    <t>abigail.allen@gmail.com</t>
  </si>
  <si>
    <t>Marikina</t>
  </si>
  <si>
    <t>Matthew</t>
  </si>
  <si>
    <t>Young</t>
  </si>
  <si>
    <t>matthew.young@gmail.com</t>
  </si>
  <si>
    <t>Parañaque</t>
  </si>
  <si>
    <t>Grace</t>
  </si>
  <si>
    <t>King</t>
  </si>
  <si>
    <t>grace.king@gmail.com</t>
  </si>
  <si>
    <t>Muntinlupa</t>
  </si>
  <si>
    <t>Samuel</t>
  </si>
  <si>
    <t>Wright</t>
  </si>
  <si>
    <t>samuel.wright@gmail.com</t>
  </si>
  <si>
    <t>Las Piñas</t>
  </si>
  <si>
    <t>Chloe</t>
  </si>
  <si>
    <t>Scott</t>
  </si>
  <si>
    <t>chloe.scott@gmail.com</t>
  </si>
  <si>
    <t>Navotas</t>
  </si>
  <si>
    <t>Joseph</t>
  </si>
  <si>
    <t>Green</t>
  </si>
  <si>
    <t>joseph.green@gmail.com</t>
  </si>
  <si>
    <t>Malabon</t>
  </si>
  <si>
    <t>Victoria</t>
  </si>
  <si>
    <t>Adams</t>
  </si>
  <si>
    <t>victoria.adams@gmail.com</t>
  </si>
  <si>
    <t>Valenzuela</t>
  </si>
  <si>
    <t>Andrew</t>
  </si>
  <si>
    <t>Baker</t>
  </si>
  <si>
    <t>andrew.baker@gmail.com</t>
  </si>
  <si>
    <t>Bulacan</t>
  </si>
  <si>
    <t>Lily</t>
  </si>
  <si>
    <t>Nelson</t>
  </si>
  <si>
    <t>lily.nelson@gmail.com</t>
  </si>
  <si>
    <t>Pampanga</t>
  </si>
  <si>
    <t>Christopher</t>
  </si>
  <si>
    <t>Carter</t>
  </si>
  <si>
    <t>christopher.carter@gmail.com</t>
  </si>
  <si>
    <t>Bataan</t>
  </si>
  <si>
    <t>Zoey</t>
  </si>
  <si>
    <t>Mitchell</t>
  </si>
  <si>
    <t>zoey.mitchell@gmail.com</t>
  </si>
  <si>
    <t>Tarlac</t>
  </si>
  <si>
    <t>Joshua</t>
  </si>
  <si>
    <t>Perez</t>
  </si>
  <si>
    <t>joshua.perez@gmail.com</t>
  </si>
  <si>
    <t>Nueva Ecija</t>
  </si>
  <si>
    <t>Natalie</t>
  </si>
  <si>
    <t>Roberts</t>
  </si>
  <si>
    <t>natalie.roberts@gmail.com</t>
  </si>
  <si>
    <t>Laguna</t>
  </si>
  <si>
    <t>Ryan</t>
  </si>
  <si>
    <t>Turner</t>
  </si>
  <si>
    <t>ryan.turner@gmail.com</t>
  </si>
  <si>
    <t>Cavite</t>
  </si>
  <si>
    <t>Hannah</t>
  </si>
  <si>
    <t>Phillips</t>
  </si>
  <si>
    <t>hannah.phillips@gmail.com</t>
  </si>
  <si>
    <t>Rizal</t>
  </si>
  <si>
    <t>Nathan</t>
  </si>
  <si>
    <t>Campbell</t>
  </si>
  <si>
    <t>nathan.campbell@gmail.com</t>
  </si>
  <si>
    <t>Palawan</t>
  </si>
  <si>
    <t>Aria</t>
  </si>
  <si>
    <t>Parker</t>
  </si>
  <si>
    <t>aria.parker@gmail.com</t>
  </si>
  <si>
    <t>Albay</t>
  </si>
  <si>
    <t>Aaron</t>
  </si>
  <si>
    <t>Evans</t>
  </si>
  <si>
    <t>aaron.evans@gmail.com</t>
  </si>
  <si>
    <t>Sorsogon</t>
  </si>
  <si>
    <t>Scarlett</t>
  </si>
  <si>
    <t>Edwards</t>
  </si>
  <si>
    <t>scarlett.edwards@gmail.com</t>
  </si>
  <si>
    <t>Leyte</t>
  </si>
  <si>
    <t>Christian</t>
  </si>
  <si>
    <t>Collins</t>
  </si>
  <si>
    <t>christian.collins@gmail.com</t>
  </si>
  <si>
    <t>Samar</t>
  </si>
  <si>
    <t>Leah</t>
  </si>
  <si>
    <t>Stewart</t>
  </si>
  <si>
    <t>leah.stewart@gmail.com</t>
  </si>
  <si>
    <t>Aklan</t>
  </si>
  <si>
    <t>Dylan</t>
  </si>
  <si>
    <t>Sanchez</t>
  </si>
  <si>
    <t>dylan.sanchez@gmail.com</t>
  </si>
  <si>
    <t>Capiz</t>
  </si>
  <si>
    <t>Stella</t>
  </si>
  <si>
    <t>Morris</t>
  </si>
  <si>
    <t>stella.morris@gmail.com</t>
  </si>
  <si>
    <t>Bohol</t>
  </si>
  <si>
    <t>Johnearly</t>
  </si>
  <si>
    <t>Dogie</t>
  </si>
  <si>
    <t>johnearly.dogiegmail.com</t>
  </si>
  <si>
    <t>Jhonathan</t>
  </si>
  <si>
    <t>Gonzaga</t>
  </si>
  <si>
    <t>something</t>
  </si>
  <si>
    <t>Gonzaga, Jhonathan</t>
  </si>
  <si>
    <t>product_id</t>
  </si>
  <si>
    <t>product_name</t>
  </si>
  <si>
    <t>category_id</t>
  </si>
  <si>
    <t>supplier_id</t>
  </si>
  <si>
    <t>price</t>
  </si>
  <si>
    <t>stock</t>
  </si>
  <si>
    <t>HP Laptop</t>
  </si>
  <si>
    <t>Lenovo Laptop</t>
  </si>
  <si>
    <t>iPhone 15</t>
  </si>
  <si>
    <t>Samsung Galaxy S24</t>
  </si>
  <si>
    <t>iPad Air</t>
  </si>
  <si>
    <t>Wireless Mouse</t>
  </si>
  <si>
    <t>Mechanical Keyboard</t>
  </si>
  <si>
    <t>Gaming Headset</t>
  </si>
  <si>
    <t>Gaming Chair</t>
  </si>
  <si>
    <t>Office Desk</t>
  </si>
  <si>
    <t>Office Chair</t>
  </si>
  <si>
    <t>Air Conditioner</t>
  </si>
  <si>
    <t>Refrigerator</t>
  </si>
  <si>
    <t>Microwave Oven</t>
  </si>
  <si>
    <t>Rice Cooker</t>
  </si>
  <si>
    <t>Garden Hose</t>
  </si>
  <si>
    <t>Basketball</t>
  </si>
  <si>
    <t>Treadmill</t>
  </si>
  <si>
    <t>Men T-Shirt</t>
  </si>
  <si>
    <t>Women Dress</t>
  </si>
  <si>
    <t>Kids Jacket</t>
  </si>
  <si>
    <t>Running Shoes</t>
  </si>
  <si>
    <t>Leather Bag</t>
  </si>
  <si>
    <t>Gold Necklace</t>
  </si>
  <si>
    <t>Face Cream</t>
  </si>
  <si>
    <t>Vitamin C</t>
  </si>
  <si>
    <t>Shampoo</t>
  </si>
  <si>
    <t>SQL Programming Book</t>
  </si>
  <si>
    <t>Notebook</t>
  </si>
  <si>
    <t>Toy Car</t>
  </si>
  <si>
    <t>Baby Bottle</t>
  </si>
  <si>
    <t>Dog Food</t>
  </si>
  <si>
    <t>Car Battery</t>
  </si>
  <si>
    <t>Motorcycle Helmet</t>
  </si>
  <si>
    <t>Electric Drill</t>
  </si>
  <si>
    <t>Air Compressor</t>
  </si>
  <si>
    <t>Acoustic Guitar</t>
  </si>
  <si>
    <t>DSLR Camera</t>
  </si>
  <si>
    <t>Camera Tripod</t>
  </si>
  <si>
    <t>PlayStation 5</t>
  </si>
  <si>
    <t>Action Movie DVD</t>
  </si>
  <si>
    <t>Bluetooth Speaker</t>
  </si>
  <si>
    <t>Chocolate Bar</t>
  </si>
  <si>
    <t>Orange Juice</t>
  </si>
  <si>
    <t>Frozen Pizza</t>
  </si>
  <si>
    <t>Potato Chips</t>
  </si>
  <si>
    <t>Laundry Detergent</t>
  </si>
  <si>
    <t>Camping Tent</t>
  </si>
  <si>
    <t>Dell Laptop</t>
  </si>
  <si>
    <t>Smart Watch</t>
  </si>
  <si>
    <t>quantity</t>
  </si>
  <si>
    <t>sales</t>
  </si>
  <si>
    <t>Years</t>
  </si>
  <si>
    <t>Months</t>
  </si>
  <si>
    <t>Sum of sales</t>
  </si>
  <si>
    <t>2026</t>
  </si>
  <si>
    <t>Jul</t>
  </si>
  <si>
    <t>19-Jul</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</si>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</sst>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PHP]\ * #,##0.00_);_([$PHP]\ * \(#,##0.00\);_([$PHP]\ * &quot;-&quot;??_);_(@_)"/>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2" fontId="0" fillId="0" borderId="0" xfId="0" applyNumberFormat="1"/>
    <xf numFmtId="164" fontId="0" fillId="0" borderId="0" xfId="0" applyNumberFormat="1"/>
    <xf numFmtId="0" fontId="0" fillId="0" borderId="0" xfId="0" pivotButton="1"/>
    <xf numFmtId="0" fontId="0" fillId="0" borderId="0" xfId="0" applyNumberFormat="1"/>
    <xf numFmtId="0" fontId="0" fillId="0" borderId="0" xfId="0" applyAlignment="1">
      <alignment horizontal="left"/>
    </xf>
  </cellXfs>
  <cellStyles count="1">
    <cellStyle name="Normal" xfId="0" builtinId="0"/>
  </cellStyles>
  <dxfs count="6">
    <dxf>
      <numFmt numFmtId="164" formatCode="_([$PHP]\ * #,##0.00_);_([$PHP]\ * \(#,##0.00\);_([$PHP]\ * &quot;-&quot;??_);_(@_)"/>
    </dxf>
    <dxf>
      <numFmt numFmtId="2" formatCode="0.00"/>
    </dxf>
    <dxf>
      <numFmt numFmtId="19" formatCode="m/d/yyyy"/>
    </dxf>
    <dxf>
      <font>
        <b/>
        <i val="0"/>
        <sz val="11"/>
        <color theme="0"/>
        <name val="Calibri"/>
        <family val="2"/>
        <scheme val="minor"/>
      </font>
    </dxf>
    <dxf>
      <font>
        <b val="0"/>
        <i val="0"/>
        <sz val="10"/>
        <color theme="0"/>
        <name val="Calibri"/>
        <family val="2"/>
        <scheme val="minor"/>
      </font>
      <fill>
        <patternFill patternType="solid">
          <fgColor theme="0"/>
          <bgColor rgb="FF3C1464"/>
        </patternFill>
      </fill>
      <border>
        <left style="thin">
          <color rgb="FF552579"/>
        </left>
        <right style="thin">
          <color rgb="FF552579"/>
        </right>
        <top style="thin">
          <color rgb="FF552579"/>
        </top>
        <bottom style="thin">
          <color rgb="FF552579"/>
        </bottom>
      </border>
    </dxf>
    <dxf>
      <font>
        <b/>
        <i val="0"/>
        <sz val="10"/>
        <color theme="0"/>
        <name val="Calibri"/>
        <family val="2"/>
        <scheme val="minor"/>
      </font>
      <fill>
        <patternFill>
          <bgColor rgb="FF3C1464"/>
        </patternFill>
      </fill>
    </dxf>
  </dxfs>
  <tableStyles count="2" defaultTableStyle="TableStyleMedium2" defaultPivotStyle="PivotStyleLight16">
    <tableStyle name="purple slicer" pivot="0" table="0" count="5" xr9:uid="{CED73C82-D4D9-475C-84B3-4569884DBC15}">
      <tableStyleElement type="wholeTable" dxfId="5"/>
    </tableStyle>
    <tableStyle name="purple timeline style" pivot="0" table="0" count="8" xr9:uid="{4A129160-4AA0-49B1-984A-849DF10DBF63}">
      <tableStyleElement type="wholeTable" dxfId="4"/>
      <tableStyleElement type="headerRow" dxfId="3"/>
    </tableStyle>
  </tableStyles>
  <colors>
    <mruColors>
      <color rgb="FF3C1464"/>
      <color rgb="FFEDB9E6"/>
      <color rgb="FF007FAC"/>
      <color rgb="FF3CDC64"/>
      <color rgb="FF225686"/>
      <color rgb="FF7728C6"/>
      <color rgb="FF552579"/>
      <color rgb="FFE084D3"/>
      <color rgb="FFFFFFFF"/>
      <color rgb="FF9563CD"/>
    </mruColors>
  </colors>
  <extLst>
    <ext xmlns:x14="http://schemas.microsoft.com/office/spreadsheetml/2009/9/main" uri="{46F421CA-312F-682f-3DD2-61675219B42D}">
      <x14:dxfs count="4">
        <dxf>
          <font>
            <b/>
            <i val="0"/>
            <color theme="0"/>
            <name val="Calibri"/>
            <family val="2"/>
            <scheme val="minor"/>
          </font>
        </dxf>
        <dxf>
          <font>
            <b/>
            <i val="0"/>
            <color theme="0"/>
            <name val="Calibri"/>
            <family val="2"/>
            <scheme val="minor"/>
          </font>
        </dxf>
        <dxf>
          <font>
            <b/>
            <i val="0"/>
            <color theme="0" tint="-0.14996795556505021"/>
            <name val="Calibri"/>
            <family val="2"/>
            <scheme val="minor"/>
          </font>
          <border>
            <left style="thin">
              <color auto="1"/>
            </left>
            <right style="thin">
              <color auto="1"/>
            </right>
            <top style="thin">
              <color auto="1"/>
            </top>
            <bottom style="thin">
              <color auto="1"/>
            </bottom>
          </border>
        </dxf>
        <dxf>
          <font>
            <b val="0"/>
            <i val="0"/>
            <color theme="0" tint="-0.14993743705557422"/>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3743705557422"/>
              <bgColor rgb="FFEDB9E6"/>
            </patternFill>
          </fill>
        </dxf>
        <dxf>
          <fill>
            <patternFill patternType="solid">
              <fgColor theme="0"/>
              <bgColor theme="0"/>
            </patternFill>
          </fill>
        </dxf>
        <dxf>
          <font>
            <b/>
            <i val="0"/>
            <sz val="9"/>
            <color theme="1" tint="0.499984740745262"/>
            <name val="Calibri"/>
            <family val="2"/>
            <scheme val="minor"/>
          </font>
        </dxf>
        <dxf>
          <font>
            <b/>
            <i val="0"/>
            <sz val="9"/>
            <color theme="1" tint="0.499984740745262"/>
            <name val="Calibri"/>
            <family val="2"/>
            <scheme val="minor"/>
          </font>
        </dxf>
        <dxf>
          <font>
            <b/>
            <i val="0"/>
            <sz val="9"/>
            <color theme="1" tint="0.499984740745262"/>
            <name val="Calibri"/>
            <family val="2"/>
            <scheme val="minor"/>
          </font>
        </dxf>
        <dxf>
          <font>
            <b/>
            <i val="0"/>
            <sz val="10"/>
            <color theme="1" tint="0.499984740745262"/>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dashboarding.xlsx]Dashboarding of sales!PivotTable1</c:name>
    <c:fmtId val="9"/>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'Dashboarding of sales'!$D$3:$D$4</c:f>
              <c:strCache>
                <c:ptCount val="1"/>
                <c:pt idx="0">
                  <c:v>Air Compressor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'Dashboarding of sales'!$A$5:$C$5</c:f>
              <c:multiLvlStrCache>
                <c:ptCount val="1"/>
                <c:lvl>
                  <c:pt idx="0">
                    <c:v>19-Jul</c:v>
                  </c:pt>
                </c:lvl>
                <c:lvl>
                  <c:pt idx="0">
                    <c:v>Jul</c:v>
                  </c:pt>
                </c:lvl>
                <c:lvl>
                  <c:pt idx="0">
                    <c:v>2026</c:v>
                  </c:pt>
                </c:lvl>
              </c:multiLvlStrCache>
            </c:multiLvlStrRef>
          </c:cat>
          <c:val>
            <c:numRef>
              <c:f>'Dashboarding of sales'!$D$5</c:f>
              <c:numCache>
                <c:formatCode>General</c:formatCode>
                <c:ptCount val="1"/>
                <c:pt idx="0">
                  <c:v>9800</c:v>
                </c:pt>
              </c:numCache>
            </c:numRef>
          </c:val>
          <c:smooth val="0"/>
          <c:extLst>
            <c:ext xmlns:c16="http://schemas.microsoft.com/office/drawing/2014/chart" uri="{C3380CC4-5D6E-409C-BE32-E72D297353CC}">
              <c16:uniqueId val="{00000003-1CC7-4606-9BC0-605A20F08E57}"/>
            </c:ext>
          </c:extLst>
        </c:ser>
        <c:dLbls>
          <c:showLegendKey val="0"/>
          <c:showVal val="0"/>
          <c:showCatName val="0"/>
          <c:showSerName val="0"/>
          <c:showPercent val="0"/>
          <c:showBubbleSize val="0"/>
        </c:dLbls>
        <c:marker val="1"/>
        <c:smooth val="0"/>
        <c:axId val="636488784"/>
        <c:axId val="636492392"/>
      </c:lineChart>
      <c:catAx>
        <c:axId val="63648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36492392"/>
        <c:crosses val="autoZero"/>
        <c:auto val="1"/>
        <c:lblAlgn val="ctr"/>
        <c:lblOffset val="100"/>
        <c:noMultiLvlLbl val="0"/>
      </c:catAx>
      <c:valAx>
        <c:axId val="636492392"/>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PH</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36488784"/>
        <c:crosses val="autoZero"/>
        <c:crossBetween val="between"/>
      </c:valAx>
      <c:spPr>
        <a:solidFill>
          <a:srgbClr val="EDB9E6"/>
        </a:solidFill>
        <a:ln>
          <a:solidFill>
            <a:schemeClr val="tx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DB9E6"/>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25686"/>
          </a:solidFill>
          <a:ln>
            <a:noFill/>
          </a:ln>
          <a:effectLst/>
        </c:spPr>
      </c:pivotFmt>
      <c:pivotFmt>
        <c:idx val="2"/>
        <c:spPr>
          <a:solidFill>
            <a:srgbClr val="007FAC"/>
          </a:solidFill>
          <a:ln>
            <a:solidFill>
              <a:schemeClr val="tx1"/>
            </a:solidFill>
          </a:ln>
          <a:effectLst/>
        </c:spPr>
      </c:pivotFmt>
      <c:pivotFmt>
        <c:idx val="3"/>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FAC"/>
          </a:solidFill>
          <a:ln>
            <a:solidFill>
              <a:schemeClr val="tx1"/>
            </a:solid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7FAC"/>
          </a:solidFill>
          <a:ln>
            <a:solidFill>
              <a:schemeClr val="tx1"/>
            </a:solidFill>
          </a:ln>
          <a:effectLst/>
        </c:spPr>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
              <c:pt idx="0">
                <c:v>DSLR Camera</c:v>
              </c:pt>
            </c:strLit>
          </c:cat>
          <c:val>
            <c:numLit>
              <c:formatCode>General</c:formatCode>
              <c:ptCount val="1"/>
              <c:pt idx="0">
                <c:v>225000</c:v>
              </c:pt>
            </c:numLit>
          </c:val>
          <c:extLst>
            <c:ext xmlns:c16="http://schemas.microsoft.com/office/drawing/2014/chart" uri="{C3380CC4-5D6E-409C-BE32-E72D297353CC}">
              <c16:uniqueId val="{00000001-4051-40F7-BDD7-F101B385F9A0}"/>
            </c:ext>
          </c:extLst>
        </c:ser>
        <c:dLbls>
          <c:showLegendKey val="0"/>
          <c:showVal val="0"/>
          <c:showCatName val="0"/>
          <c:showSerName val="0"/>
          <c:showPercent val="0"/>
          <c:showBubbleSize val="0"/>
        </c:dLbls>
        <c:gapWidth val="182"/>
        <c:axId val="616201392"/>
        <c:axId val="616199096"/>
      </c:barChart>
      <c:catAx>
        <c:axId val="616201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199096"/>
        <c:crosses val="autoZero"/>
        <c:auto val="1"/>
        <c:lblAlgn val="ctr"/>
        <c:lblOffset val="100"/>
        <c:noMultiLvlLbl val="0"/>
      </c:catAx>
      <c:valAx>
        <c:axId val="616199096"/>
        <c:scaling>
          <c:orientation val="minMax"/>
        </c:scaling>
        <c:delete val="0"/>
        <c:axPos val="b"/>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201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DB9E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dashboarding.xlsx]product_name!PivotTable1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Products with the Highest Sales</a:t>
            </a:r>
            <a:endParaRPr lang="en-US" b="1"/>
          </a:p>
        </c:rich>
      </c:tx>
      <c:layout>
        <c:manualLayout>
          <c:xMode val="edge"/>
          <c:yMode val="edge"/>
          <c:x val="0.2582305182802853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25686"/>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25686"/>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product_name!$B$3</c:f>
              <c:strCache>
                <c:ptCount val="1"/>
                <c:pt idx="0">
                  <c:v>Total</c:v>
                </c:pt>
              </c:strCache>
            </c:strRef>
          </c:tx>
          <c:spPr>
            <a:solidFill>
              <a:schemeClr val="accent1"/>
            </a:solidFill>
            <a:ln>
              <a:noFill/>
            </a:ln>
            <a:effectLst/>
          </c:spPr>
          <c:invertIfNegative val="0"/>
          <c:cat>
            <c:strRef>
              <c:f>product_name!$A$4</c:f>
              <c:strCache>
                <c:ptCount val="1"/>
                <c:pt idx="0">
                  <c:v>Air Compressor</c:v>
                </c:pt>
              </c:strCache>
            </c:strRef>
          </c:cat>
          <c:val>
            <c:numRef>
              <c:f>product_name!$B$4</c:f>
              <c:numCache>
                <c:formatCode>General</c:formatCode>
                <c:ptCount val="1"/>
                <c:pt idx="0">
                  <c:v>9800</c:v>
                </c:pt>
              </c:numCache>
            </c:numRef>
          </c:val>
          <c:extLst>
            <c:ext xmlns:c16="http://schemas.microsoft.com/office/drawing/2014/chart" uri="{C3380CC4-5D6E-409C-BE32-E72D297353CC}">
              <c16:uniqueId val="{00000003-A5B0-4931-AF8D-504275A3DB77}"/>
            </c:ext>
          </c:extLst>
        </c:ser>
        <c:dLbls>
          <c:showLegendKey val="0"/>
          <c:showVal val="0"/>
          <c:showCatName val="0"/>
          <c:showSerName val="0"/>
          <c:showPercent val="0"/>
          <c:showBubbleSize val="0"/>
        </c:dLbls>
        <c:gapWidth val="182"/>
        <c:axId val="616201392"/>
        <c:axId val="616199096"/>
      </c:barChart>
      <c:catAx>
        <c:axId val="616201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199096"/>
        <c:crosses val="autoZero"/>
        <c:auto val="1"/>
        <c:lblAlgn val="ctr"/>
        <c:lblOffset val="100"/>
        <c:noMultiLvlLbl val="0"/>
      </c:catAx>
      <c:valAx>
        <c:axId val="616199096"/>
        <c:scaling>
          <c:orientation val="minMax"/>
        </c:scaling>
        <c:delete val="0"/>
        <c:axPos val="b"/>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201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DB9E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22860</xdr:rowOff>
    </xdr:from>
    <xdr:to>
      <xdr:col>26</xdr:col>
      <xdr:colOff>114300</xdr:colOff>
      <xdr:row>3</xdr:row>
      <xdr:rowOff>160020</xdr:rowOff>
    </xdr:to>
    <xdr:sp macro="" textlink="">
      <xdr:nvSpPr>
        <xdr:cNvPr id="2" name="Rectangle 1">
          <a:extLst>
            <a:ext uri="{FF2B5EF4-FFF2-40B4-BE49-F238E27FC236}">
              <a16:creationId xmlns:a16="http://schemas.microsoft.com/office/drawing/2014/main" id="{B7148E20-B774-46C0-BFBC-97417D1B1067}"/>
            </a:ext>
          </a:extLst>
        </xdr:cNvPr>
        <xdr:cNvSpPr/>
      </xdr:nvSpPr>
      <xdr:spPr>
        <a:xfrm>
          <a:off x="0" y="22860"/>
          <a:ext cx="13049250" cy="556260"/>
        </a:xfrm>
        <a:prstGeom prst="rect">
          <a:avLst/>
        </a:prstGeom>
        <a:solidFill>
          <a:srgbClr val="3C1464"/>
        </a:solidFill>
        <a:ln>
          <a:solidFill>
            <a:srgbClr val="3C146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chemeClr val="bg1"/>
              </a:solidFill>
            </a:rPr>
            <a:t>Sales Dashboard</a:t>
          </a:r>
        </a:p>
      </xdr:txBody>
    </xdr:sp>
    <xdr:clientData/>
  </xdr:twoCellAnchor>
  <xdr:twoCellAnchor>
    <xdr:from>
      <xdr:col>0</xdr:col>
      <xdr:colOff>7620</xdr:colOff>
      <xdr:row>11</xdr:row>
      <xdr:rowOff>160867</xdr:rowOff>
    </xdr:from>
    <xdr:to>
      <xdr:col>11</xdr:col>
      <xdr:colOff>601980</xdr:colOff>
      <xdr:row>28</xdr:row>
      <xdr:rowOff>139701</xdr:rowOff>
    </xdr:to>
    <xdr:graphicFrame macro="">
      <xdr:nvGraphicFramePr>
        <xdr:cNvPr id="3" name="Chart 2">
          <a:extLst>
            <a:ext uri="{FF2B5EF4-FFF2-40B4-BE49-F238E27FC236}">
              <a16:creationId xmlns:a16="http://schemas.microsoft.com/office/drawing/2014/main" id="{E0B27A78-7679-4056-A82E-FD336B2E6E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15239</xdr:colOff>
      <xdr:row>4</xdr:row>
      <xdr:rowOff>15240</xdr:rowOff>
    </xdr:from>
    <xdr:to>
      <xdr:col>19</xdr:col>
      <xdr:colOff>581024</xdr:colOff>
      <xdr:row>11</xdr:row>
      <xdr:rowOff>144780</xdr:rowOff>
    </xdr:to>
    <mc:AlternateContent xmlns:mc="http://schemas.openxmlformats.org/markup-compatibility/2006" xmlns:tsle="http://schemas.microsoft.com/office/drawing/2012/timeslicer">
      <mc:Choice Requires="tsle">
        <xdr:graphicFrame macro="">
          <xdr:nvGraphicFramePr>
            <xdr:cNvPr id="4" name="order_date">
              <a:extLst>
                <a:ext uri="{FF2B5EF4-FFF2-40B4-BE49-F238E27FC236}">
                  <a16:creationId xmlns:a16="http://schemas.microsoft.com/office/drawing/2014/main" id="{B1A45A5E-1D85-490B-A535-1FAEA9FA49B1}"/>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239" y="633307"/>
              <a:ext cx="9201785" cy="143340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11</xdr:col>
      <xdr:colOff>594360</xdr:colOff>
      <xdr:row>11</xdr:row>
      <xdr:rowOff>160020</xdr:rowOff>
    </xdr:from>
    <xdr:to>
      <xdr:col>19</xdr:col>
      <xdr:colOff>45720</xdr:colOff>
      <xdr:row>28</xdr:row>
      <xdr:rowOff>114300</xdr:rowOff>
    </xdr:to>
    <xdr:graphicFrame macro="">
      <xdr:nvGraphicFramePr>
        <xdr:cNvPr id="7" name="Chart 6">
          <a:extLst>
            <a:ext uri="{FF2B5EF4-FFF2-40B4-BE49-F238E27FC236}">
              <a16:creationId xmlns:a16="http://schemas.microsoft.com/office/drawing/2014/main" id="{C39E0D05-1C55-44E1-ACD4-E8C54A73EF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76200</xdr:colOff>
      <xdr:row>11</xdr:row>
      <xdr:rowOff>152400</xdr:rowOff>
    </xdr:from>
    <xdr:to>
      <xdr:col>26</xdr:col>
      <xdr:colOff>137160</xdr:colOff>
      <xdr:row>28</xdr:row>
      <xdr:rowOff>123825</xdr:rowOff>
    </xdr:to>
    <xdr:graphicFrame macro="">
      <xdr:nvGraphicFramePr>
        <xdr:cNvPr id="8" name="Chart 7">
          <a:extLst>
            <a:ext uri="{FF2B5EF4-FFF2-40B4-BE49-F238E27FC236}">
              <a16:creationId xmlns:a16="http://schemas.microsoft.com/office/drawing/2014/main" id="{9B1B58CA-7994-4FFD-8D3A-691265A4E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67733</xdr:colOff>
      <xdr:row>4</xdr:row>
      <xdr:rowOff>16933</xdr:rowOff>
    </xdr:from>
    <xdr:to>
      <xdr:col>23</xdr:col>
      <xdr:colOff>67733</xdr:colOff>
      <xdr:row>11</xdr:row>
      <xdr:rowOff>135466</xdr:rowOff>
    </xdr:to>
    <mc:AlternateContent xmlns:mc="http://schemas.openxmlformats.org/markup-compatibility/2006" xmlns:a14="http://schemas.microsoft.com/office/drawing/2010/main">
      <mc:Choice Requires="a14">
        <xdr:graphicFrame macro="">
          <xdr:nvGraphicFramePr>
            <xdr:cNvPr id="9" name="product_name">
              <a:extLst>
                <a:ext uri="{FF2B5EF4-FFF2-40B4-BE49-F238E27FC236}">
                  <a16:creationId xmlns:a16="http://schemas.microsoft.com/office/drawing/2014/main" id="{6502A3C4-99FB-48D9-9903-68BFC29C37DE}"/>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9313333" y="635000"/>
              <a:ext cx="1828800" cy="1422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127000</xdr:colOff>
      <xdr:row>4</xdr:row>
      <xdr:rowOff>16934</xdr:rowOff>
    </xdr:from>
    <xdr:to>
      <xdr:col>26</xdr:col>
      <xdr:colOff>127000</xdr:colOff>
      <xdr:row>11</xdr:row>
      <xdr:rowOff>93134</xdr:rowOff>
    </xdr:to>
    <mc:AlternateContent xmlns:mc="http://schemas.openxmlformats.org/markup-compatibility/2006">
      <mc:Choice xmlns:a14="http://schemas.microsoft.com/office/drawing/2010/main" Requires="a14">
        <xdr:graphicFrame macro="">
          <xdr:nvGraphicFramePr>
            <xdr:cNvPr id="10" name="order_status">
              <a:extLst>
                <a:ext uri="{FF2B5EF4-FFF2-40B4-BE49-F238E27FC236}">
                  <a16:creationId xmlns:a16="http://schemas.microsoft.com/office/drawing/2014/main" id="{8CC0FB51-13ED-431F-98EA-90D86E37D23F}"/>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dr:sp macro="" textlink="">
          <xdr:nvSpPr>
            <xdr:cNvPr id="0" name=""/>
            <xdr:cNvSpPr>
              <a:spLocks noTextEdit="1"/>
            </xdr:cNvSpPr>
          </xdr:nvSpPr>
          <xdr:spPr>
            <a:xfrm>
              <a:off x="11201400" y="635001"/>
              <a:ext cx="1828800" cy="13800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261.542538773145" createdVersion="7" refreshedVersion="7" minRefreshableVersion="3" recordCount="52" xr:uid="{605D8419-F8D0-4D67-A6F5-F4C58B3ADF8D}">
  <cacheSource type="worksheet">
    <worksheetSource name="Table1"/>
  </cacheSource>
  <cacheFields count="17">
    <cacheField name="product_id" numFmtId="0">
      <sharedItems containsSemiMixedTypes="0" containsString="0" containsNumber="1" containsInteger="1" minValue="1" maxValue="52"/>
    </cacheField>
    <cacheField name="order_id" numFmtId="0">
      <sharedItems containsSemiMixedTypes="0" containsString="0" containsNumber="1" containsInteger="1" minValue="1" maxValue="52"/>
    </cacheField>
    <cacheField name="customer_id" numFmtId="0">
      <sharedItems containsSemiMixedTypes="0" containsString="0" containsNumber="1" containsInteger="1" minValue="1" maxValue="52"/>
    </cacheField>
    <cacheField name="order_date" numFmtId="14">
      <sharedItems containsSemiMixedTypes="0" containsNonDate="0" containsDate="1" containsString="0" minDate="2025-08-18T00:00:00" maxDate="2026-07-26T00:00:00" count="26">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5-08-18T00:00:00"/>
      </sharedItems>
      <fieldGroup par="16" base="3">
        <rangePr groupBy="days" startDate="2025-08-18T00:00:00" endDate="2026-07-26T00:00:00"/>
        <groupItems count="368">
          <s v="&lt;8/18/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26/2026"/>
        </groupItems>
      </fieldGroup>
    </cacheField>
    <cacheField name="order_status" numFmtId="0">
      <sharedItems count="5">
        <s v="Delivered"/>
        <s v="Processing"/>
        <s v="Pending"/>
        <s v="Shipped"/>
        <s v="Cancelled"/>
      </sharedItems>
    </cacheField>
    <cacheField name="cancel_date" numFmtId="0">
      <sharedItems containsNonDate="0" containsDate="1" containsString="0" containsBlank="1" minDate="2026-08-01T00:00:00" maxDate="2026-09-01T00:00:00" count="32">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m/>
        <d v="2026-08-25T00:00:00"/>
        <d v="2026-08-26T00:00:00"/>
        <d v="2026-08-27T00:00:00"/>
        <d v="2026-08-28T00:00:00"/>
        <d v="2026-08-29T00:00:00"/>
        <d v="2026-08-30T00:00:00"/>
        <d v="2026-08-31T00:00:00"/>
        <d v="2026-08-24T00:00:00"/>
        <d v="2026-08-23T00:00:00"/>
        <d v="2026-08-22T00:00:00"/>
      </sharedItems>
    </cacheField>
    <cacheField name="quantity" numFmtId="0">
      <sharedItems containsSemiMixedTypes="0" containsString="0" containsNumber="1" containsInteger="1" minValue="1" maxValue="7" count="7">
        <n v="2"/>
        <n v="5"/>
        <n v="1"/>
        <n v="3"/>
        <n v="4"/>
        <n v="6"/>
        <n v="7"/>
      </sharedItems>
    </cacheField>
    <cacheField name="first_name" numFmtId="2">
      <sharedItems/>
    </cacheField>
    <cacheField name="email" numFmtId="0">
      <sharedItems count="52">
        <s v="john.doe@gmail.com"/>
        <s v="mary.smith@gmail.com"/>
        <s v="michael.johnson@gmail.com"/>
        <s v="sarah.williams@gmail.com"/>
        <s v="david.brown@gmail.com"/>
        <s v="emily.jones@gmail.com"/>
        <s v="james.garcia@gmail.com"/>
        <s v="olivia.miller@gmail.com"/>
        <s v="daniel.davis@gmail.com"/>
        <s v="sophia.wilson@gmail.com"/>
        <s v="ethan.moore@gmail.com"/>
        <s v="ava.taylor@gmail.com"/>
        <s v="noah.anderson@gmail.com"/>
        <s v="isabella.thomas@gmail.com"/>
        <s v="liam.jackson@gmail.com"/>
        <s v="mia.white@gmail.com"/>
        <s v="lucas.harris@gmail.com"/>
        <s v="charlotte.martin@gmail.com"/>
        <s v="benjamin.thompson@gmail.com"/>
        <s v="amelia.martinez@gmail.com"/>
        <s v="henry.robinson@gmail.com"/>
        <s v="evelyn.clark@gmail.com"/>
        <s v="alexander.rodriguez@gmail.com"/>
        <s v="harper.lewis@gmail.com"/>
        <s v="william.lee@gmail.com"/>
        <s v="ella.walker@gmail.com"/>
        <s v="jacob.hall@gmail.com"/>
        <s v="abigail.allen@gmail.com"/>
        <s v="matthew.young@gmail.com"/>
        <s v="grace.king@gmail.com"/>
        <s v="samuel.wright@gmail.com"/>
        <s v="chloe.scott@gmail.com"/>
        <s v="joseph.green@gmail.com"/>
        <s v="victoria.adams@gmail.com"/>
        <s v="andrew.baker@gmail.com"/>
        <s v="lily.nelson@gmail.com"/>
        <s v="christopher.carter@gmail.com"/>
        <s v="zoey.mitchell@gmail.com"/>
        <s v="joshua.perez@gmail.com"/>
        <s v="natalie.roberts@gmail.com"/>
        <s v="ryan.turner@gmail.com"/>
        <s v="hannah.phillips@gmail.com"/>
        <s v="nathan.campbell@gmail.com"/>
        <s v="aria.parker@gmail.com"/>
        <s v="aaron.evans@gmail.com"/>
        <s v="scarlett.edwards@gmail.com"/>
        <s v="christian.collins@gmail.com"/>
        <s v="leah.stewart@gmail.com"/>
        <s v="dylan.sanchez@gmail.com"/>
        <s v="stella.morris@gmail.com"/>
        <s v="johnearly.dogiegmail.com"/>
        <s v="something"/>
      </sharedItems>
    </cacheField>
    <cacheField name="product_name" numFmtId="0">
      <sharedItems count="51">
        <s v="Dell Laptop"/>
        <s v="HP Laptop"/>
        <s v="Lenovo Laptop"/>
        <s v="iPhone 15"/>
        <s v="Samsung Galaxy S24"/>
        <s v="iPad Air"/>
        <s v="Wireless Mouse"/>
        <s v="Mechanical Keyboard"/>
        <s v="Gaming Headset"/>
        <s v="Gaming Chair"/>
        <s v="Office Desk"/>
        <s v="Office Chair"/>
        <s v="Air Conditioner"/>
        <s v="Refrigerator"/>
        <s v="Microwave Oven"/>
        <s v="Rice Cooker"/>
        <s v="Garden Hose"/>
        <s v="Basketball"/>
        <s v="Treadmill"/>
        <s v="Men T-Shirt"/>
        <s v="Women Dress"/>
        <s v="Kids Jacket"/>
        <s v="Running Shoes"/>
        <s v="Leather Bag"/>
        <s v="Smart Watch"/>
        <s v="Gold Necklace"/>
        <s v="Face Cream"/>
        <s v="Vitamin C"/>
        <s v="Shampoo"/>
        <s v="SQL Programming Book"/>
        <s v="Notebook"/>
        <s v="Toy Car"/>
        <s v="Baby Bottle"/>
        <s v="Dog Food"/>
        <s v="Car Battery"/>
        <s v="Motorcycle Helmet"/>
        <s v="Electric Drill"/>
        <s v="Air Compressor"/>
        <s v="Acoustic Guitar"/>
        <s v="DSLR Camera"/>
        <s v="Camera Tripod"/>
        <s v="PlayStation 5"/>
        <s v="Action Movie DVD"/>
        <s v="Bluetooth Speaker"/>
        <s v="Chocolate Bar"/>
        <s v="Orange Juice"/>
        <s v="Frozen Pizza"/>
        <s v="Potato Chips"/>
        <s v="Laundry Detergent"/>
        <s v="Camping Tent"/>
        <e v="#N/A"/>
      </sharedItems>
    </cacheField>
    <cacheField name="category_id" numFmtId="0">
      <sharedItems containsMixedTypes="1" containsNumber="1" containsInteger="1" minValue="3" maxValue="47"/>
    </cacheField>
    <cacheField name="supplier_id" numFmtId="0">
      <sharedItems containsMixedTypes="1" containsNumber="1" containsInteger="1" minValue="1" maxValue="50"/>
    </cacheField>
    <cacheField name="price" numFmtId="0">
      <sharedItems containsMixedTypes="1" containsNumber="1" containsInteger="1" minValue="75" maxValue="65000" count="40">
        <n v="46000"/>
        <n v="42000"/>
        <n v="40000"/>
        <n v="65000"/>
        <n v="58000"/>
        <n v="38000"/>
        <n v="750"/>
        <n v="2500"/>
        <n v="3200"/>
        <n v="8500"/>
        <n v="6500"/>
        <n v="4200"/>
        <n v="28000"/>
        <n v="35000"/>
        <n v="2200"/>
        <n v="950"/>
        <n v="800"/>
        <n v="25000"/>
        <n v="500"/>
        <n v="1200"/>
        <n v="850"/>
        <n v="3500"/>
        <n v="2800"/>
        <n v="18000"/>
        <n v="450"/>
        <n v="600"/>
        <n v="250"/>
        <n v="80"/>
        <n v="350"/>
        <n v="280"/>
        <n v="5500"/>
        <n v="9800"/>
        <n v="7200"/>
        <n v="45000"/>
        <n v="1800"/>
        <n v="32000"/>
        <n v="120"/>
        <n v="180"/>
        <n v="75"/>
        <e v="#N/A"/>
      </sharedItems>
    </cacheField>
    <cacheField name="stock" numFmtId="0">
      <sharedItems containsMixedTypes="1" containsNumber="1" containsInteger="1" minValue="6" maxValue="500" count="35">
        <n v="25"/>
        <n v="18"/>
        <n v="20"/>
        <n v="30"/>
        <n v="22"/>
        <n v="15"/>
        <n v="100"/>
        <n v="60"/>
        <n v="45"/>
        <n v="12"/>
        <n v="35"/>
        <n v="10"/>
        <n v="8"/>
        <n v="50"/>
        <n v="40"/>
        <n v="55"/>
        <n v="6"/>
        <n v="150"/>
        <n v="90"/>
        <n v="70"/>
        <n v="28"/>
        <n v="120"/>
        <n v="80"/>
        <n v="200"/>
        <n v="300"/>
        <n v="110"/>
        <n v="95"/>
        <n v="16"/>
        <n v="9"/>
        <n v="14"/>
        <n v="48"/>
        <n v="500"/>
        <n v="75"/>
        <n v="250"/>
        <e v="#N/A"/>
      </sharedItems>
    </cacheField>
    <cacheField name="sales" numFmtId="164">
      <sharedItems containsMixedTypes="1" containsNumber="1" containsInteger="1" minValue="225" maxValue="232000" count="47">
        <n v="92000"/>
        <n v="210000"/>
        <n v="40000"/>
        <n v="195000"/>
        <n v="232000"/>
        <n v="76000"/>
        <n v="4500"/>
        <n v="7500"/>
        <n v="3200"/>
        <n v="42500"/>
        <n v="13000"/>
        <n v="16800"/>
        <n v="84000"/>
        <n v="35000"/>
        <n v="45500"/>
        <n v="4400"/>
        <n v="3800"/>
        <n v="2400"/>
        <n v="125000"/>
        <n v="1000"/>
        <n v="7200"/>
        <n v="850"/>
        <n v="10500"/>
        <n v="5600"/>
        <n v="34000"/>
        <n v="90000"/>
        <n v="900"/>
        <n v="3600"/>
        <n v="750"/>
        <n v="950"/>
        <n v="320"/>
        <n v="700"/>
        <n v="1400"/>
        <n v="11000"/>
        <n v="15400"/>
        <n v="9800"/>
        <n v="21600"/>
        <n v="225000"/>
        <n v="192000"/>
        <n v="1500"/>
        <n v="2800"/>
        <n v="480"/>
        <n v="360"/>
        <n v="1750"/>
        <n v="225"/>
        <n v="2700"/>
        <e v="#N/A"/>
      </sharedItems>
    </cacheField>
    <cacheField name="Months" numFmtId="0" databaseField="0">
      <fieldGroup base="3">
        <rangePr groupBy="months" startDate="2025-08-18T00:00:00" endDate="2026-07-26T00:00:00"/>
        <groupItems count="14">
          <s v="&lt;8/18/2025"/>
          <s v="Jan"/>
          <s v="Feb"/>
          <s v="Mar"/>
          <s v="Apr"/>
          <s v="May"/>
          <s v="Jun"/>
          <s v="Jul"/>
          <s v="Aug"/>
          <s v="Sep"/>
          <s v="Oct"/>
          <s v="Nov"/>
          <s v="Dec"/>
          <s v="&gt;7/26/2026"/>
        </groupItems>
      </fieldGroup>
    </cacheField>
    <cacheField name="Years" numFmtId="0" databaseField="0">
      <fieldGroup base="3">
        <rangePr groupBy="years" startDate="2025-08-18T00:00:00" endDate="2026-07-26T00:00:00"/>
        <groupItems count="4">
          <s v="&lt;8/18/2025"/>
          <s v="2025"/>
          <s v="2026"/>
          <s v="&gt;7/26/2026"/>
        </groupItems>
      </fieldGroup>
    </cacheField>
  </cacheFields>
  <extLst>
    <ext xmlns:x14="http://schemas.microsoft.com/office/spreadsheetml/2009/9/main" uri="{725AE2AE-9491-48be-B2B4-4EB974FC3084}">
      <x14:pivotCacheDefinition pivotCacheId="13469528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n v="1"/>
    <n v="1"/>
    <n v="1"/>
    <x v="0"/>
    <x v="0"/>
    <x v="0"/>
    <x v="0"/>
    <s v="John"/>
    <x v="0"/>
    <x v="0"/>
    <n v="3"/>
    <n v="1"/>
    <x v="0"/>
    <x v="0"/>
    <x v="0"/>
  </r>
  <r>
    <n v="2"/>
    <n v="2"/>
    <n v="2"/>
    <x v="0"/>
    <x v="1"/>
    <x v="1"/>
    <x v="1"/>
    <s v="Mary"/>
    <x v="1"/>
    <x v="1"/>
    <n v="3"/>
    <n v="2"/>
    <x v="1"/>
    <x v="1"/>
    <x v="1"/>
  </r>
  <r>
    <n v="3"/>
    <n v="3"/>
    <n v="3"/>
    <x v="1"/>
    <x v="2"/>
    <x v="2"/>
    <x v="2"/>
    <s v="Michael"/>
    <x v="2"/>
    <x v="2"/>
    <n v="3"/>
    <n v="3"/>
    <x v="2"/>
    <x v="2"/>
    <x v="2"/>
  </r>
  <r>
    <n v="4"/>
    <n v="4"/>
    <n v="4"/>
    <x v="1"/>
    <x v="3"/>
    <x v="3"/>
    <x v="3"/>
    <s v="Sarah"/>
    <x v="3"/>
    <x v="3"/>
    <n v="4"/>
    <n v="4"/>
    <x v="3"/>
    <x v="3"/>
    <x v="3"/>
  </r>
  <r>
    <n v="5"/>
    <n v="5"/>
    <n v="5"/>
    <x v="2"/>
    <x v="0"/>
    <x v="4"/>
    <x v="4"/>
    <s v="David"/>
    <x v="4"/>
    <x v="4"/>
    <n v="4"/>
    <n v="5"/>
    <x v="4"/>
    <x v="4"/>
    <x v="4"/>
  </r>
  <r>
    <n v="6"/>
    <n v="6"/>
    <n v="6"/>
    <x v="2"/>
    <x v="4"/>
    <x v="5"/>
    <x v="0"/>
    <s v="Emily"/>
    <x v="5"/>
    <x v="5"/>
    <n v="5"/>
    <n v="6"/>
    <x v="5"/>
    <x v="5"/>
    <x v="5"/>
  </r>
  <r>
    <n v="7"/>
    <n v="7"/>
    <n v="7"/>
    <x v="3"/>
    <x v="0"/>
    <x v="6"/>
    <x v="5"/>
    <s v="James"/>
    <x v="6"/>
    <x v="6"/>
    <n v="6"/>
    <n v="7"/>
    <x v="6"/>
    <x v="6"/>
    <x v="6"/>
  </r>
  <r>
    <n v="8"/>
    <n v="8"/>
    <n v="8"/>
    <x v="3"/>
    <x v="1"/>
    <x v="7"/>
    <x v="3"/>
    <s v="Olivia"/>
    <x v="7"/>
    <x v="7"/>
    <n v="6"/>
    <n v="8"/>
    <x v="7"/>
    <x v="7"/>
    <x v="7"/>
  </r>
  <r>
    <n v="9"/>
    <n v="9"/>
    <n v="9"/>
    <x v="4"/>
    <x v="2"/>
    <x v="8"/>
    <x v="2"/>
    <s v="Daniel"/>
    <x v="8"/>
    <x v="8"/>
    <n v="7"/>
    <n v="9"/>
    <x v="8"/>
    <x v="8"/>
    <x v="8"/>
  </r>
  <r>
    <n v="10"/>
    <n v="10"/>
    <n v="10"/>
    <x v="4"/>
    <x v="3"/>
    <x v="9"/>
    <x v="1"/>
    <s v="Sophia"/>
    <x v="9"/>
    <x v="9"/>
    <n v="7"/>
    <n v="10"/>
    <x v="9"/>
    <x v="9"/>
    <x v="9"/>
  </r>
  <r>
    <n v="11"/>
    <n v="11"/>
    <n v="11"/>
    <x v="5"/>
    <x v="0"/>
    <x v="10"/>
    <x v="0"/>
    <s v="Ethan"/>
    <x v="10"/>
    <x v="10"/>
    <n v="9"/>
    <n v="11"/>
    <x v="10"/>
    <x v="2"/>
    <x v="10"/>
  </r>
  <r>
    <n v="12"/>
    <n v="12"/>
    <n v="12"/>
    <x v="5"/>
    <x v="1"/>
    <x v="11"/>
    <x v="4"/>
    <s v="Ava"/>
    <x v="11"/>
    <x v="11"/>
    <n v="9"/>
    <n v="12"/>
    <x v="11"/>
    <x v="10"/>
    <x v="11"/>
  </r>
  <r>
    <n v="13"/>
    <n v="13"/>
    <n v="13"/>
    <x v="6"/>
    <x v="0"/>
    <x v="12"/>
    <x v="3"/>
    <s v="Noah"/>
    <x v="12"/>
    <x v="12"/>
    <n v="10"/>
    <n v="13"/>
    <x v="12"/>
    <x v="11"/>
    <x v="12"/>
  </r>
  <r>
    <n v="14"/>
    <n v="14"/>
    <n v="14"/>
    <x v="6"/>
    <x v="4"/>
    <x v="13"/>
    <x v="2"/>
    <s v="Isabella"/>
    <x v="13"/>
    <x v="13"/>
    <n v="10"/>
    <n v="14"/>
    <x v="13"/>
    <x v="12"/>
    <x v="13"/>
  </r>
  <r>
    <n v="15"/>
    <n v="15"/>
    <n v="15"/>
    <x v="7"/>
    <x v="2"/>
    <x v="14"/>
    <x v="6"/>
    <s v="Liam"/>
    <x v="14"/>
    <x v="14"/>
    <n v="11"/>
    <n v="15"/>
    <x v="10"/>
    <x v="1"/>
    <x v="14"/>
  </r>
  <r>
    <n v="16"/>
    <n v="16"/>
    <n v="16"/>
    <x v="7"/>
    <x v="3"/>
    <x v="15"/>
    <x v="0"/>
    <s v="Mia"/>
    <x v="15"/>
    <x v="15"/>
    <n v="11"/>
    <n v="16"/>
    <x v="14"/>
    <x v="13"/>
    <x v="15"/>
  </r>
  <r>
    <n v="17"/>
    <n v="17"/>
    <n v="17"/>
    <x v="8"/>
    <x v="0"/>
    <x v="16"/>
    <x v="4"/>
    <s v="Lucas"/>
    <x v="16"/>
    <x v="16"/>
    <n v="12"/>
    <n v="17"/>
    <x v="15"/>
    <x v="14"/>
    <x v="16"/>
  </r>
  <r>
    <n v="18"/>
    <n v="18"/>
    <n v="18"/>
    <x v="8"/>
    <x v="1"/>
    <x v="17"/>
    <x v="3"/>
    <s v="Charlotte"/>
    <x v="17"/>
    <x v="17"/>
    <n v="13"/>
    <n v="18"/>
    <x v="16"/>
    <x v="15"/>
    <x v="17"/>
  </r>
  <r>
    <n v="19"/>
    <n v="19"/>
    <n v="19"/>
    <x v="9"/>
    <x v="2"/>
    <x v="18"/>
    <x v="1"/>
    <s v="Benjamin"/>
    <x v="18"/>
    <x v="18"/>
    <n v="14"/>
    <n v="19"/>
    <x v="17"/>
    <x v="16"/>
    <x v="18"/>
  </r>
  <r>
    <n v="20"/>
    <n v="20"/>
    <n v="20"/>
    <x v="9"/>
    <x v="0"/>
    <x v="19"/>
    <x v="0"/>
    <s v="Amelia"/>
    <x v="19"/>
    <x v="19"/>
    <n v="16"/>
    <n v="20"/>
    <x v="18"/>
    <x v="17"/>
    <x v="19"/>
  </r>
  <r>
    <n v="21"/>
    <n v="21"/>
    <n v="21"/>
    <x v="10"/>
    <x v="3"/>
    <x v="20"/>
    <x v="5"/>
    <s v="Henry"/>
    <x v="20"/>
    <x v="20"/>
    <n v="17"/>
    <n v="21"/>
    <x v="19"/>
    <x v="18"/>
    <x v="20"/>
  </r>
  <r>
    <n v="22"/>
    <n v="22"/>
    <n v="22"/>
    <x v="10"/>
    <x v="1"/>
    <x v="21"/>
    <x v="2"/>
    <s v="Evelyn"/>
    <x v="21"/>
    <x v="21"/>
    <n v="18"/>
    <n v="22"/>
    <x v="20"/>
    <x v="19"/>
    <x v="21"/>
  </r>
  <r>
    <n v="23"/>
    <n v="23"/>
    <n v="23"/>
    <x v="11"/>
    <x v="0"/>
    <x v="21"/>
    <x v="3"/>
    <s v="Alexander"/>
    <x v="22"/>
    <x v="22"/>
    <n v="19"/>
    <n v="23"/>
    <x v="21"/>
    <x v="8"/>
    <x v="22"/>
  </r>
  <r>
    <n v="24"/>
    <n v="24"/>
    <n v="24"/>
    <x v="11"/>
    <x v="4"/>
    <x v="21"/>
    <x v="0"/>
    <s v="Harper"/>
    <x v="23"/>
    <x v="23"/>
    <n v="20"/>
    <n v="24"/>
    <x v="22"/>
    <x v="3"/>
    <x v="23"/>
  </r>
  <r>
    <n v="25"/>
    <n v="25"/>
    <n v="25"/>
    <x v="12"/>
    <x v="2"/>
    <x v="22"/>
    <x v="4"/>
    <s v="William"/>
    <x v="24"/>
    <x v="24"/>
    <n v="21"/>
    <n v="25"/>
    <x v="9"/>
    <x v="20"/>
    <x v="24"/>
  </r>
  <r>
    <n v="26"/>
    <n v="26"/>
    <n v="26"/>
    <x v="12"/>
    <x v="0"/>
    <x v="23"/>
    <x v="1"/>
    <s v="Ella"/>
    <x v="25"/>
    <x v="25"/>
    <n v="22"/>
    <n v="26"/>
    <x v="23"/>
    <x v="11"/>
    <x v="25"/>
  </r>
  <r>
    <n v="27"/>
    <n v="27"/>
    <n v="27"/>
    <x v="13"/>
    <x v="3"/>
    <x v="24"/>
    <x v="0"/>
    <s v="Jacob"/>
    <x v="26"/>
    <x v="26"/>
    <n v="23"/>
    <n v="27"/>
    <x v="24"/>
    <x v="21"/>
    <x v="26"/>
  </r>
  <r>
    <n v="28"/>
    <n v="28"/>
    <n v="28"/>
    <x v="13"/>
    <x v="1"/>
    <x v="25"/>
    <x v="5"/>
    <s v="Abigail"/>
    <x v="27"/>
    <x v="27"/>
    <n v="24"/>
    <n v="28"/>
    <x v="25"/>
    <x v="22"/>
    <x v="27"/>
  </r>
  <r>
    <n v="29"/>
    <n v="29"/>
    <n v="29"/>
    <x v="14"/>
    <x v="0"/>
    <x v="26"/>
    <x v="3"/>
    <s v="Matthew"/>
    <x v="28"/>
    <x v="28"/>
    <n v="25"/>
    <n v="29"/>
    <x v="26"/>
    <x v="23"/>
    <x v="28"/>
  </r>
  <r>
    <n v="30"/>
    <n v="30"/>
    <n v="30"/>
    <x v="14"/>
    <x v="2"/>
    <x v="27"/>
    <x v="2"/>
    <s v="Grace"/>
    <x v="29"/>
    <x v="29"/>
    <n v="26"/>
    <n v="30"/>
    <x v="15"/>
    <x v="14"/>
    <x v="29"/>
  </r>
  <r>
    <n v="31"/>
    <n v="31"/>
    <n v="31"/>
    <x v="15"/>
    <x v="0"/>
    <x v="28"/>
    <x v="4"/>
    <s v="Samuel"/>
    <x v="30"/>
    <x v="30"/>
    <n v="27"/>
    <n v="31"/>
    <x v="27"/>
    <x v="24"/>
    <x v="30"/>
  </r>
  <r>
    <n v="32"/>
    <n v="32"/>
    <n v="32"/>
    <x v="15"/>
    <x v="3"/>
    <x v="21"/>
    <x v="0"/>
    <s v="Chloe"/>
    <x v="31"/>
    <x v="31"/>
    <n v="28"/>
    <n v="32"/>
    <x v="28"/>
    <x v="25"/>
    <x v="31"/>
  </r>
  <r>
    <n v="33"/>
    <n v="33"/>
    <n v="33"/>
    <x v="16"/>
    <x v="4"/>
    <x v="21"/>
    <x v="1"/>
    <s v="Joseph"/>
    <x v="32"/>
    <x v="32"/>
    <n v="29"/>
    <n v="33"/>
    <x v="29"/>
    <x v="26"/>
    <x v="32"/>
  </r>
  <r>
    <n v="34"/>
    <n v="34"/>
    <n v="34"/>
    <x v="16"/>
    <x v="1"/>
    <x v="21"/>
    <x v="3"/>
    <s v="Victoria"/>
    <x v="33"/>
    <x v="33"/>
    <n v="30"/>
    <n v="34"/>
    <x v="19"/>
    <x v="13"/>
    <x v="27"/>
  </r>
  <r>
    <n v="35"/>
    <n v="35"/>
    <n v="35"/>
    <x v="17"/>
    <x v="0"/>
    <x v="21"/>
    <x v="0"/>
    <s v="Andrew"/>
    <x v="34"/>
    <x v="34"/>
    <n v="31"/>
    <n v="35"/>
    <x v="30"/>
    <x v="1"/>
    <x v="33"/>
  </r>
  <r>
    <n v="36"/>
    <n v="36"/>
    <n v="36"/>
    <x v="17"/>
    <x v="2"/>
    <x v="21"/>
    <x v="6"/>
    <s v="Lily"/>
    <x v="35"/>
    <x v="35"/>
    <n v="32"/>
    <n v="36"/>
    <x v="14"/>
    <x v="10"/>
    <x v="34"/>
  </r>
  <r>
    <n v="37"/>
    <n v="37"/>
    <n v="37"/>
    <x v="18"/>
    <x v="3"/>
    <x v="21"/>
    <x v="4"/>
    <s v="Christopher"/>
    <x v="36"/>
    <x v="36"/>
    <n v="33"/>
    <n v="37"/>
    <x v="11"/>
    <x v="4"/>
    <x v="11"/>
  </r>
  <r>
    <n v="38"/>
    <n v="38"/>
    <n v="38"/>
    <x v="18"/>
    <x v="0"/>
    <x v="21"/>
    <x v="2"/>
    <s v="Zoey"/>
    <x v="37"/>
    <x v="37"/>
    <n v="34"/>
    <n v="38"/>
    <x v="31"/>
    <x v="9"/>
    <x v="35"/>
  </r>
  <r>
    <n v="39"/>
    <n v="39"/>
    <n v="39"/>
    <x v="19"/>
    <x v="1"/>
    <x v="21"/>
    <x v="3"/>
    <s v="Joshua"/>
    <x v="38"/>
    <x v="38"/>
    <n v="35"/>
    <n v="39"/>
    <x v="32"/>
    <x v="27"/>
    <x v="36"/>
  </r>
  <r>
    <n v="40"/>
    <n v="40"/>
    <n v="40"/>
    <x v="19"/>
    <x v="0"/>
    <x v="21"/>
    <x v="1"/>
    <s v="Natalie"/>
    <x v="39"/>
    <x v="39"/>
    <n v="36"/>
    <n v="40"/>
    <x v="33"/>
    <x v="28"/>
    <x v="37"/>
  </r>
  <r>
    <n v="41"/>
    <n v="41"/>
    <n v="41"/>
    <x v="20"/>
    <x v="2"/>
    <x v="21"/>
    <x v="0"/>
    <s v="Ryan"/>
    <x v="40"/>
    <x v="40"/>
    <n v="37"/>
    <n v="41"/>
    <x v="34"/>
    <x v="14"/>
    <x v="27"/>
  </r>
  <r>
    <n v="42"/>
    <n v="42"/>
    <n v="42"/>
    <x v="20"/>
    <x v="3"/>
    <x v="21"/>
    <x v="5"/>
    <s v="Hannah"/>
    <x v="41"/>
    <x v="41"/>
    <n v="38"/>
    <n v="42"/>
    <x v="35"/>
    <x v="29"/>
    <x v="38"/>
  </r>
  <r>
    <n v="43"/>
    <n v="43"/>
    <n v="43"/>
    <x v="21"/>
    <x v="0"/>
    <x v="21"/>
    <x v="3"/>
    <s v="Nathan"/>
    <x v="42"/>
    <x v="42"/>
    <n v="39"/>
    <n v="43"/>
    <x v="18"/>
    <x v="7"/>
    <x v="39"/>
  </r>
  <r>
    <n v="44"/>
    <n v="44"/>
    <n v="44"/>
    <x v="21"/>
    <x v="4"/>
    <x v="21"/>
    <x v="2"/>
    <s v="Aria"/>
    <x v="43"/>
    <x v="43"/>
    <n v="40"/>
    <n v="44"/>
    <x v="22"/>
    <x v="30"/>
    <x v="40"/>
  </r>
  <r>
    <n v="45"/>
    <n v="45"/>
    <n v="45"/>
    <x v="22"/>
    <x v="1"/>
    <x v="21"/>
    <x v="4"/>
    <s v="Aaron"/>
    <x v="44"/>
    <x v="44"/>
    <n v="41"/>
    <n v="45"/>
    <x v="36"/>
    <x v="31"/>
    <x v="41"/>
  </r>
  <r>
    <n v="46"/>
    <n v="46"/>
    <n v="46"/>
    <x v="22"/>
    <x v="0"/>
    <x v="21"/>
    <x v="0"/>
    <s v="Scarlett"/>
    <x v="45"/>
    <x v="45"/>
    <n v="42"/>
    <n v="46"/>
    <x v="37"/>
    <x v="17"/>
    <x v="42"/>
  </r>
  <r>
    <n v="47"/>
    <n v="47"/>
    <n v="47"/>
    <x v="23"/>
    <x v="2"/>
    <x v="21"/>
    <x v="1"/>
    <s v="Christian"/>
    <x v="46"/>
    <x v="46"/>
    <n v="43"/>
    <n v="47"/>
    <x v="28"/>
    <x v="32"/>
    <x v="43"/>
  </r>
  <r>
    <n v="48"/>
    <n v="48"/>
    <n v="48"/>
    <x v="23"/>
    <x v="3"/>
    <x v="21"/>
    <x v="3"/>
    <s v="Leah"/>
    <x v="47"/>
    <x v="47"/>
    <n v="44"/>
    <n v="48"/>
    <x v="38"/>
    <x v="33"/>
    <x v="44"/>
  </r>
  <r>
    <n v="49"/>
    <n v="49"/>
    <n v="49"/>
    <x v="24"/>
    <x v="0"/>
    <x v="29"/>
    <x v="5"/>
    <s v="Dylan"/>
    <x v="48"/>
    <x v="48"/>
    <n v="45"/>
    <n v="49"/>
    <x v="24"/>
    <x v="6"/>
    <x v="45"/>
  </r>
  <r>
    <n v="50"/>
    <n v="50"/>
    <n v="50"/>
    <x v="24"/>
    <x v="1"/>
    <x v="30"/>
    <x v="0"/>
    <s v="Stella"/>
    <x v="49"/>
    <x v="49"/>
    <n v="47"/>
    <n v="50"/>
    <x v="10"/>
    <x v="2"/>
    <x v="10"/>
  </r>
  <r>
    <n v="51"/>
    <n v="51"/>
    <n v="51"/>
    <x v="0"/>
    <x v="0"/>
    <x v="21"/>
    <x v="4"/>
    <s v="Johnearly"/>
    <x v="50"/>
    <x v="50"/>
    <e v="#N/A"/>
    <e v="#N/A"/>
    <x v="39"/>
    <x v="34"/>
    <x v="46"/>
  </r>
  <r>
    <n v="52"/>
    <n v="52"/>
    <n v="52"/>
    <x v="25"/>
    <x v="0"/>
    <x v="31"/>
    <x v="2"/>
    <s v="Jhonathan"/>
    <x v="51"/>
    <x v="50"/>
    <e v="#N/A"/>
    <e v="#N/A"/>
    <x v="39"/>
    <x v="34"/>
    <x v="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9EBEA9-F6B5-4C5B-8BB8-5EFACEAA01B0}" name="PivotTable1" cacheId="31"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10">
  <location ref="A3:D5" firstHeaderRow="1" firstDataRow="2" firstDataCol="3"/>
  <pivotFields count="17">
    <pivotField compact="0" outline="0" showAll="0" defaultSubtotal="0"/>
    <pivotField compact="0" outline="0" showAll="0" defaultSubtotal="0"/>
    <pivotField compact="0" outline="0" showAll="0" defaultSubtotal="0"/>
    <pivotField axis="axisRow" compact="0" numFmtId="14"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howAll="0" defaultSubtotal="0">
      <items count="5">
        <item h="1" x="4"/>
        <item x="0"/>
        <item h="1" x="2"/>
        <item h="1" x="1"/>
        <item h="1" x="3"/>
      </items>
    </pivotField>
    <pivotField compact="0" outline="0" showAll="0" defaultSubtotal="0"/>
    <pivotField compact="0" outline="0" showAll="0" defaultSubtotal="0"/>
    <pivotField compact="0" outline="0" showAll="0" defaultSubtotal="0"/>
    <pivotField compact="0" outline="0" showAll="0" defaultSubtotal="0">
      <items count="52">
        <item x="44"/>
        <item h="1" x="27"/>
        <item h="1" x="22"/>
        <item h="1" x="19"/>
        <item h="1" x="34"/>
        <item h="1" x="43"/>
        <item h="1" x="11"/>
        <item h="1" x="18"/>
        <item h="1" x="17"/>
        <item h="1" x="31"/>
        <item h="1" x="46"/>
        <item h="1" x="36"/>
        <item h="1" x="8"/>
        <item h="1" x="4"/>
        <item h="1" x="48"/>
        <item h="1" x="25"/>
        <item h="1" x="5"/>
        <item h="1" x="10"/>
        <item h="1" x="21"/>
        <item h="1" x="29"/>
        <item h="1" x="41"/>
        <item h="1" x="23"/>
        <item h="1" x="20"/>
        <item h="1" x="13"/>
        <item h="1" x="26"/>
        <item h="1" x="6"/>
        <item h="1" x="0"/>
        <item h="1" x="50"/>
        <item h="1" x="32"/>
        <item h="1" x="38"/>
        <item h="1" x="47"/>
        <item h="1" x="14"/>
        <item h="1" x="35"/>
        <item h="1" x="16"/>
        <item h="1" x="1"/>
        <item h="1" x="28"/>
        <item h="1" x="15"/>
        <item h="1" x="2"/>
        <item h="1" x="39"/>
        <item h="1" x="42"/>
        <item h="1" x="12"/>
        <item h="1" x="7"/>
        <item h="1" x="40"/>
        <item h="1" x="30"/>
        <item h="1" x="3"/>
        <item h="1" x="45"/>
        <item h="1" x="51"/>
        <item h="1" x="9"/>
        <item h="1" x="49"/>
        <item h="1" x="33"/>
        <item h="1" x="24"/>
        <item h="1" x="37"/>
      </items>
    </pivotField>
    <pivotField axis="axisCol" compact="0" outline="0" showAll="0" defaultSubtotal="0">
      <items count="51">
        <item h="1" x="38"/>
        <item h="1" x="42"/>
        <item x="37"/>
        <item h="1" x="12"/>
        <item h="1" x="32"/>
        <item h="1" x="17"/>
        <item h="1" x="43"/>
        <item h="1" x="40"/>
        <item h="1" x="49"/>
        <item h="1" x="34"/>
        <item h="1" x="44"/>
        <item h="1" x="0"/>
        <item h="1" x="33"/>
        <item h="1" x="39"/>
        <item h="1" x="36"/>
        <item h="1" x="26"/>
        <item h="1" x="46"/>
        <item h="1" x="9"/>
        <item h="1" x="8"/>
        <item h="1" x="16"/>
        <item h="1" x="25"/>
        <item h="1" x="1"/>
        <item h="1" x="5"/>
        <item h="1" x="3"/>
        <item h="1" x="21"/>
        <item h="1" x="48"/>
        <item h="1" x="23"/>
        <item h="1" x="2"/>
        <item h="1" x="7"/>
        <item h="1" x="19"/>
        <item h="1" x="14"/>
        <item h="1" x="35"/>
        <item h="1" x="30"/>
        <item h="1" x="11"/>
        <item h="1" x="10"/>
        <item h="1" x="45"/>
        <item h="1" x="41"/>
        <item h="1" x="47"/>
        <item h="1" x="13"/>
        <item h="1" x="15"/>
        <item h="1" x="22"/>
        <item h="1" x="4"/>
        <item h="1" x="28"/>
        <item h="1" x="24"/>
        <item h="1" x="29"/>
        <item h="1" x="31"/>
        <item h="1" x="18"/>
        <item h="1" x="27"/>
        <item h="1" x="6"/>
        <item h="1" x="20"/>
        <item h="1" x="50"/>
      </items>
    </pivotField>
    <pivotField compact="0" outline="0" showAll="0" defaultSubtotal="0"/>
    <pivotField compact="0" outline="0" showAll="0" defaultSubtotal="0"/>
    <pivotField compact="0" outline="0" showAll="0" defaultSubtotal="0">
      <items count="40">
        <item h="1" x="38"/>
        <item h="1" x="27"/>
        <item h="1" x="36"/>
        <item h="1" x="37"/>
        <item h="1" x="26"/>
        <item h="1" x="29"/>
        <item x="28"/>
        <item h="1" x="24"/>
        <item h="1" x="18"/>
        <item h="1" x="25"/>
        <item h="1" x="6"/>
        <item h="1" x="16"/>
        <item h="1" x="20"/>
        <item h="1" x="15"/>
        <item h="1" x="19"/>
        <item h="1" x="34"/>
        <item h="1" x="14"/>
        <item h="1" x="7"/>
        <item h="1" x="22"/>
        <item h="1" x="8"/>
        <item h="1" x="21"/>
        <item h="1" x="11"/>
        <item h="1" x="30"/>
        <item h="1" x="10"/>
        <item h="1" x="32"/>
        <item h="1" x="9"/>
        <item h="1" x="31"/>
        <item h="1" x="23"/>
        <item h="1" x="17"/>
        <item h="1" x="12"/>
        <item h="1" x="35"/>
        <item h="1" x="13"/>
        <item h="1" x="5"/>
        <item h="1" x="2"/>
        <item h="1" x="1"/>
        <item h="1" x="33"/>
        <item h="1" x="0"/>
        <item h="1" x="4"/>
        <item h="1" x="3"/>
        <item h="1" x="39"/>
      </items>
    </pivotField>
    <pivotField compact="0" outline="0" showAll="0" defaultSubtotal="0">
      <items count="35">
        <item x="16"/>
        <item x="12"/>
        <item x="28"/>
        <item x="11"/>
        <item x="9"/>
        <item x="29"/>
        <item x="5"/>
        <item x="27"/>
        <item x="1"/>
        <item x="2"/>
        <item x="4"/>
        <item x="0"/>
        <item x="20"/>
        <item x="3"/>
        <item x="10"/>
        <item x="14"/>
        <item x="8"/>
        <item x="30"/>
        <item x="13"/>
        <item x="15"/>
        <item x="7"/>
        <item x="19"/>
        <item x="32"/>
        <item x="22"/>
        <item x="18"/>
        <item x="26"/>
        <item x="6"/>
        <item x="25"/>
        <item x="21"/>
        <item x="17"/>
        <item x="23"/>
        <item x="33"/>
        <item x="24"/>
        <item x="31"/>
        <item x="34"/>
      </items>
    </pivotField>
    <pivotField dataField="1" compact="0" outline="0" showAll="0" defaultSubtotal="0">
      <items count="47">
        <item h="1" x="44"/>
        <item h="1" x="30"/>
        <item h="1" x="42"/>
        <item h="1" x="41"/>
        <item h="1" x="31"/>
        <item x="28"/>
        <item h="1" x="21"/>
        <item h="1" x="26"/>
        <item h="1" x="29"/>
        <item h="1" x="19"/>
        <item h="1" x="32"/>
        <item h="1" x="39"/>
        <item h="1" x="43"/>
        <item h="1" x="17"/>
        <item h="1" x="45"/>
        <item h="1" x="40"/>
        <item h="1" x="8"/>
        <item h="1" x="27"/>
        <item h="1" x="16"/>
        <item h="1" x="15"/>
        <item h="1" x="6"/>
        <item h="1" x="23"/>
        <item h="1" x="20"/>
        <item h="1" x="7"/>
        <item h="1" x="35"/>
        <item h="1" x="22"/>
        <item h="1" x="33"/>
        <item h="1" x="10"/>
        <item h="1" x="34"/>
        <item h="1" x="11"/>
        <item h="1" x="36"/>
        <item h="1" x="24"/>
        <item h="1" x="13"/>
        <item h="1" x="2"/>
        <item h="1" x="9"/>
        <item h="1" x="14"/>
        <item h="1" x="5"/>
        <item h="1" x="12"/>
        <item h="1" x="25"/>
        <item h="1" x="0"/>
        <item h="1" x="18"/>
        <item h="1" x="38"/>
        <item h="1" x="3"/>
        <item h="1" x="1"/>
        <item h="1" x="37"/>
        <item h="1" x="4"/>
        <item h="1" x="46"/>
      </items>
    </pivotField>
    <pivotField axis="axisRow" compact="0" outline="0" subtotalTop="0" showAll="0" defaultSubtotal="0">
      <items count="14">
        <item x="0"/>
        <item x="1"/>
        <item x="2"/>
        <item x="3"/>
        <item x="4"/>
        <item x="5"/>
        <item x="6"/>
        <item x="7"/>
        <item x="8"/>
        <item x="9"/>
        <item x="10"/>
        <item x="11"/>
        <item x="12"/>
        <item x="13"/>
      </items>
    </pivotField>
    <pivotField axis="axisRow" compact="0" outline="0" subtotalTop="0" showAll="0" defaultSubtotal="0">
      <items count="4">
        <item x="0"/>
        <item x="1"/>
        <item x="2"/>
        <item x="3"/>
      </items>
    </pivotField>
  </pivotFields>
  <rowFields count="3">
    <field x="16"/>
    <field x="15"/>
    <field x="3"/>
  </rowFields>
  <rowItems count="1">
    <i>
      <x v="2"/>
      <x v="7"/>
      <x v="201"/>
    </i>
  </rowItems>
  <colFields count="1">
    <field x="9"/>
  </colFields>
  <colItems count="1">
    <i>
      <x v="2"/>
    </i>
  </colItems>
  <dataFields count="1">
    <dataField name="Sum of sales" fld="14" baseField="3" baseItem="184"/>
  </dataFields>
  <chartFormats count="1">
    <chartFormat chart="9"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filters count="1">
    <filter fld="3" type="dateBetween" evalOrder="-1" id="60" name="order_date">
      <autoFilter ref="A1">
        <filterColumn colId="0">
          <customFilters and="1">
            <customFilter operator="greaterThanOrEqual" val="46204"/>
            <customFilter operator="lessThanOrEqual" val="462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6EC60F-171E-4BC2-992E-D95F3F4F87C1}" name="PivotTable1" cacheId="31"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10">
  <location ref="A3:B4" firstHeaderRow="1" firstDataRow="1" firstDataCol="1"/>
  <pivotFields count="17">
    <pivotField compact="0" outline="0" showAll="0" defaultSubtotal="0"/>
    <pivotField compact="0" outline="0" showAll="0" defaultSubtotal="0"/>
    <pivotField compact="0" outline="0" showAll="0" defaultSubtotal="0"/>
    <pivotField compact="0" numFmtId="14"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howAll="0" defaultSubtotal="0">
      <items count="5">
        <item h="1" x="4"/>
        <item x="0"/>
        <item h="1" x="2"/>
        <item h="1" x="1"/>
        <item h="1" x="3"/>
      </items>
    </pivotField>
    <pivotField compact="0" outline="0" showAll="0" sortType="ascending" defaultSubtotal="0">
      <items count="32">
        <item x="0"/>
        <item x="1"/>
        <item x="2"/>
        <item x="3"/>
        <item x="4"/>
        <item x="5"/>
        <item x="6"/>
        <item x="7"/>
        <item x="8"/>
        <item x="9"/>
        <item x="10"/>
        <item x="11"/>
        <item x="12"/>
        <item x="13"/>
        <item x="14"/>
        <item x="15"/>
        <item x="16"/>
        <item x="17"/>
        <item x="18"/>
        <item x="19"/>
        <item x="20"/>
        <item x="31"/>
        <item x="30"/>
        <item x="29"/>
        <item x="22"/>
        <item x="23"/>
        <item x="24"/>
        <item x="25"/>
        <item x="26"/>
        <item x="27"/>
        <item x="28"/>
        <item x="21"/>
      </items>
      <autoSortScope>
        <pivotArea dataOnly="0" outline="0" fieldPosition="0">
          <references count="1">
            <reference field="4294967294" count="1" selected="0">
              <x v="0"/>
            </reference>
          </references>
        </pivotArea>
      </autoSortScope>
    </pivotField>
    <pivotField compact="0" outline="0" showAll="0" defaultSubtotal="0">
      <items count="7">
        <item x="2"/>
        <item x="0"/>
        <item x="3"/>
        <item x="4"/>
        <item x="1"/>
        <item x="5"/>
        <item x="6"/>
      </items>
    </pivotField>
    <pivotField compact="0" outline="0" showAll="0" defaultSubtotal="0"/>
    <pivotField compact="0" outline="0" showAll="0" defaultSubtotal="0">
      <items count="52">
        <item x="44"/>
        <item h="1" x="27"/>
        <item h="1" x="22"/>
        <item h="1" x="19"/>
        <item h="1" x="34"/>
        <item h="1" x="43"/>
        <item h="1" x="11"/>
        <item h="1" x="18"/>
        <item h="1" x="17"/>
        <item h="1" x="31"/>
        <item h="1" x="46"/>
        <item h="1" x="36"/>
        <item h="1" x="8"/>
        <item h="1" x="4"/>
        <item h="1" x="48"/>
        <item h="1" x="25"/>
        <item h="1" x="5"/>
        <item h="1" x="10"/>
        <item h="1" x="21"/>
        <item h="1" x="29"/>
        <item h="1" x="41"/>
        <item h="1" x="23"/>
        <item h="1" x="20"/>
        <item h="1" x="13"/>
        <item h="1" x="26"/>
        <item h="1" x="6"/>
        <item h="1" x="0"/>
        <item h="1" x="50"/>
        <item h="1" x="32"/>
        <item h="1" x="38"/>
        <item h="1" x="47"/>
        <item h="1" x="14"/>
        <item h="1" x="35"/>
        <item h="1" x="16"/>
        <item h="1" x="1"/>
        <item h="1" x="28"/>
        <item h="1" x="15"/>
        <item h="1" x="2"/>
        <item h="1" x="39"/>
        <item h="1" x="42"/>
        <item h="1" x="12"/>
        <item h="1" x="7"/>
        <item h="1" x="40"/>
        <item h="1" x="30"/>
        <item h="1" x="3"/>
        <item h="1" x="45"/>
        <item h="1" x="51"/>
        <item h="1" x="9"/>
        <item h="1" x="49"/>
        <item h="1" x="33"/>
        <item h="1" x="24"/>
        <item h="1" x="37"/>
      </items>
    </pivotField>
    <pivotField axis="axisRow" compact="0" outline="0" showAll="0" sortType="ascending" defaultSubtotal="0">
      <items count="51">
        <item h="1" x="38"/>
        <item h="1" x="42"/>
        <item x="37"/>
        <item h="1" x="12"/>
        <item h="1" x="32"/>
        <item h="1" x="17"/>
        <item h="1" x="43"/>
        <item h="1" x="40"/>
        <item h="1" x="49"/>
        <item h="1" x="34"/>
        <item h="1" x="44"/>
        <item h="1" x="0"/>
        <item h="1" x="33"/>
        <item h="1" x="39"/>
        <item h="1" x="36"/>
        <item h="1" x="26"/>
        <item h="1" x="46"/>
        <item h="1" x="9"/>
        <item h="1" x="8"/>
        <item h="1" x="16"/>
        <item h="1" x="25"/>
        <item h="1" x="1"/>
        <item h="1" x="5"/>
        <item h="1" x="3"/>
        <item h="1" x="21"/>
        <item h="1" x="48"/>
        <item h="1" x="23"/>
        <item h="1" x="2"/>
        <item h="1" x="7"/>
        <item h="1" x="19"/>
        <item h="1" x="14"/>
        <item h="1" x="35"/>
        <item h="1" x="30"/>
        <item h="1" x="11"/>
        <item h="1" x="10"/>
        <item h="1" x="45"/>
        <item h="1" x="41"/>
        <item h="1" x="47"/>
        <item h="1" x="13"/>
        <item h="1" x="15"/>
        <item h="1" x="22"/>
        <item h="1" x="4"/>
        <item h="1" x="28"/>
        <item h="1" x="24"/>
        <item h="1" x="29"/>
        <item h="1" x="31"/>
        <item h="1" x="18"/>
        <item h="1" x="27"/>
        <item h="1" x="6"/>
        <item h="1" x="20"/>
        <item h="1" x="5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0">
        <item h="1" x="38"/>
        <item h="1" x="27"/>
        <item h="1" x="36"/>
        <item h="1" x="37"/>
        <item h="1" x="26"/>
        <item h="1" x="29"/>
        <item x="28"/>
        <item h="1" x="24"/>
        <item h="1" x="18"/>
        <item h="1" x="25"/>
        <item h="1" x="6"/>
        <item h="1" x="16"/>
        <item h="1" x="20"/>
        <item h="1" x="15"/>
        <item h="1" x="19"/>
        <item h="1" x="34"/>
        <item h="1" x="14"/>
        <item h="1" x="7"/>
        <item h="1" x="22"/>
        <item h="1" x="8"/>
        <item h="1" x="21"/>
        <item h="1" x="11"/>
        <item h="1" x="30"/>
        <item h="1" x="10"/>
        <item h="1" x="32"/>
        <item h="1" x="9"/>
        <item h="1" x="31"/>
        <item h="1" x="23"/>
        <item h="1" x="17"/>
        <item h="1" x="12"/>
        <item h="1" x="35"/>
        <item h="1" x="13"/>
        <item h="1" x="5"/>
        <item h="1" x="2"/>
        <item h="1" x="1"/>
        <item h="1" x="33"/>
        <item h="1" x="0"/>
        <item h="1" x="4"/>
        <item h="1" x="3"/>
        <item h="1" x="39"/>
      </items>
    </pivotField>
    <pivotField compact="0" outline="0" showAll="0" sortType="ascending" defaultSubtotal="0">
      <items count="35">
        <item x="16"/>
        <item x="12"/>
        <item x="28"/>
        <item x="11"/>
        <item x="9"/>
        <item x="29"/>
        <item x="5"/>
        <item x="27"/>
        <item x="1"/>
        <item x="2"/>
        <item x="4"/>
        <item x="0"/>
        <item x="20"/>
        <item x="3"/>
        <item x="10"/>
        <item x="14"/>
        <item x="8"/>
        <item x="30"/>
        <item x="13"/>
        <item x="15"/>
        <item x="7"/>
        <item x="19"/>
        <item x="32"/>
        <item x="22"/>
        <item x="18"/>
        <item x="26"/>
        <item x="6"/>
        <item x="25"/>
        <item x="21"/>
        <item x="17"/>
        <item x="23"/>
        <item x="33"/>
        <item x="24"/>
        <item x="31"/>
        <item x="34"/>
      </items>
      <autoSortScope>
        <pivotArea dataOnly="0" outline="0" fieldPosition="0">
          <references count="1">
            <reference field="4294967294" count="1" selected="0">
              <x v="0"/>
            </reference>
          </references>
        </pivotArea>
      </autoSortScope>
    </pivotField>
    <pivotField dataField="1" compact="0" outline="0" showAll="0" defaultSubtotal="0">
      <items count="47">
        <item h="1" x="44"/>
        <item h="1" x="30"/>
        <item h="1" x="42"/>
        <item h="1" x="41"/>
        <item h="1" x="31"/>
        <item x="28"/>
        <item h="1" x="21"/>
        <item h="1" x="26"/>
        <item h="1" x="29"/>
        <item h="1" x="19"/>
        <item h="1" x="32"/>
        <item h="1" x="39"/>
        <item h="1" x="43"/>
        <item h="1" x="17"/>
        <item h="1" x="45"/>
        <item h="1" x="40"/>
        <item h="1" x="8"/>
        <item h="1" x="27"/>
        <item h="1" x="16"/>
        <item h="1" x="15"/>
        <item h="1" x="6"/>
        <item h="1" x="23"/>
        <item h="1" x="20"/>
        <item h="1" x="7"/>
        <item h="1" x="35"/>
        <item h="1" x="22"/>
        <item h="1" x="33"/>
        <item h="1" x="10"/>
        <item h="1" x="34"/>
        <item h="1" x="11"/>
        <item h="1" x="36"/>
        <item h="1" x="24"/>
        <item h="1" x="13"/>
        <item h="1" x="2"/>
        <item h="1" x="9"/>
        <item h="1" x="14"/>
        <item h="1" x="5"/>
        <item h="1" x="12"/>
        <item h="1" x="25"/>
        <item h="1" x="0"/>
        <item h="1" x="18"/>
        <item h="1" x="38"/>
        <item h="1" x="3"/>
        <item h="1" x="1"/>
        <item h="1" x="37"/>
        <item h="1" x="4"/>
        <item h="1" x="46"/>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4">
        <item x="0"/>
        <item x="1"/>
        <item x="2"/>
        <item x="3"/>
      </items>
    </pivotField>
  </pivotFields>
  <rowFields count="1">
    <field x="9"/>
  </rowFields>
  <rowItems count="1">
    <i>
      <x v="2"/>
    </i>
  </rowItems>
  <colItems count="1">
    <i/>
  </colItems>
  <dataFields count="1">
    <dataField name="Sum of sales" fld="14" baseField="13" baseItem="0"/>
  </dataFields>
  <chartFormats count="3">
    <chartFormat chart="6"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filters count="1">
    <filter fld="3" type="dateBetween" evalOrder="-1" id="60" name="order_date">
      <autoFilter ref="A1">
        <filterColumn colId="0">
          <customFilters and="1">
            <customFilter operator="greaterThanOrEqual" val="46204"/>
            <customFilter operator="lessThanOrEqual" val="462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C34FB7-36E4-4552-B721-E48E5F1B4644}" name="PivotTable4"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5" firstHeaderRow="1" firstDataRow="1" firstDataCol="1"/>
  <pivotFields count="17">
    <pivotField showAll="0"/>
    <pivotField showAll="0"/>
    <pivotField showAll="0"/>
    <pivotField numFmtId="14" showAll="0"/>
    <pivotField axis="axisRow" showAll="0">
      <items count="6">
        <item h="1" x="4"/>
        <item x="0"/>
        <item h="1" x="2"/>
        <item h="1" x="1"/>
        <item h="1" x="3"/>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Fields count="1">
    <field x="4"/>
  </rowFields>
  <rowItems count="2">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689A6468-24CE-4174-9BCF-F1D6F3FB914D}" sourceName="product_name">
  <pivotTables>
    <pivotTable tabId="5" name="PivotTable1"/>
    <pivotTable tabId="7" name="PivotTable1"/>
  </pivotTables>
  <data>
    <tabular pivotCacheId="1346952820">
      <items count="51">
        <i x="42"/>
        <i x="37" s="1"/>
        <i x="12"/>
        <i x="34"/>
        <i x="0"/>
        <i x="39"/>
        <i x="16"/>
        <i x="25"/>
        <i x="48"/>
        <i x="19"/>
        <i x="30"/>
        <i x="10"/>
        <i x="45"/>
        <i x="22"/>
        <i x="4"/>
        <i x="28"/>
        <i x="6"/>
        <i x="50"/>
        <i x="38" nd="1"/>
        <i x="32" nd="1"/>
        <i x="17" nd="1"/>
        <i x="43" nd="1"/>
        <i x="40" nd="1"/>
        <i x="49" nd="1"/>
        <i x="44" nd="1"/>
        <i x="33" nd="1"/>
        <i x="36" nd="1"/>
        <i x="26" nd="1"/>
        <i x="46" nd="1"/>
        <i x="9" nd="1"/>
        <i x="8" nd="1"/>
        <i x="1" nd="1"/>
        <i x="5" nd="1"/>
        <i x="3" nd="1"/>
        <i x="21" nd="1"/>
        <i x="23" nd="1"/>
        <i x="2" nd="1"/>
        <i x="7" nd="1"/>
        <i x="14" nd="1"/>
        <i x="35" nd="1"/>
        <i x="11" nd="1"/>
        <i x="41" nd="1"/>
        <i x="47" nd="1"/>
        <i x="13" nd="1"/>
        <i x="15" nd="1"/>
        <i x="24" nd="1"/>
        <i x="29" nd="1"/>
        <i x="31" nd="1"/>
        <i x="18" nd="1"/>
        <i x="27" nd="1"/>
        <i x="2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A252FCEA-0460-4828-A6EF-0C4DAD1B4677}" sourceName="order_status">
  <pivotTables>
    <pivotTable tabId="9" name="PivotTable4"/>
    <pivotTable tabId="5" name="PivotTable1"/>
    <pivotTable tabId="7" name="PivotTable1"/>
  </pivotTables>
  <data>
    <tabular pivotCacheId="1346952820">
      <items count="5">
        <i x="4"/>
        <i x="0" s="1"/>
        <i x="2"/>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B864A693-CE71-4222-B4DE-F68C94C5F025}" cache="Slicer_product_name" caption="product_name" startItem="1" rowHeight="222250"/>
  <slicer name="order_status" xr10:uid="{F5CE03A8-7091-4C2A-AA1F-6E3E52997821}" cache="Slicer_order_status" caption="order_status"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F253CF-5810-4BF2-9C8A-D88B2EF07F3C}" name="Table1" displayName="Table1" ref="A1:N53" totalsRowShown="0">
  <autoFilter ref="A1:N53" xr:uid="{90F253CF-5810-4BF2-9C8A-D88B2EF07F3C}"/>
  <tableColumns count="14">
    <tableColumn id="1" xr3:uid="{FE158D21-0646-4B9A-BC16-8FBF606CCB01}" name="product_id"/>
    <tableColumn id="2" xr3:uid="{D64A3A8E-C6DE-44FF-B994-7075F6BB1243}" name="order_id"/>
    <tableColumn id="3" xr3:uid="{64FB34C2-60EE-4FF9-B322-99A307344CC2}" name="customer_id"/>
    <tableColumn id="4" xr3:uid="{5381C3CA-F547-403A-B596-85D45514E383}" name="order_date" dataDxfId="2"/>
    <tableColumn id="5" xr3:uid="{A16B14F5-77A5-461F-B3F7-8B4A911B95D1}" name="order_status"/>
    <tableColumn id="7" xr3:uid="{FE0423AC-2E2C-4ECC-AAD2-CCAFC7F965E1}" name="quantity"/>
    <tableColumn id="8" xr3:uid="{0F73911C-85D5-42DB-8292-28F38B3048AE}" name="first_name" dataDxfId="1">
      <calculatedColumnFormula>_xlfn.XLOOKUP(C2,customers!$A$1:$A$53,customers!$B$1:$B$53,,)</calculatedColumnFormula>
    </tableColumn>
    <tableColumn id="9" xr3:uid="{6225807B-859A-4000-A698-0BB44784B445}" name="email">
      <calculatedColumnFormula>_xlfn.XLOOKUP(C2,customers!$A$1:$A$53,customers!$D$1:$D$53,,)</calculatedColumnFormula>
    </tableColumn>
    <tableColumn id="10" xr3:uid="{140AF7A9-2D71-4D05-A236-C42C2B8009E9}" name="product_name">
      <calculatedColumnFormula>INDEX(products!$A$1:$F$51, MATCH(orders!$A2,products!$A$1:$A$51,0), MATCH(orders!I$1,products!$A$1:$F$1,0))</calculatedColumnFormula>
    </tableColumn>
    <tableColumn id="11" xr3:uid="{2AAB5C9B-648F-466F-ABFE-01B5BBA17578}" name="category_id">
      <calculatedColumnFormula>INDEX(products!$A$1:$F$51, MATCH(orders!$A2,products!$A$1:$A$51,0), MATCH(orders!J$1,products!$A$1:$F$1,0))</calculatedColumnFormula>
    </tableColumn>
    <tableColumn id="12" xr3:uid="{129DBCA5-9268-433F-A3A7-828DE084BF6A}" name="supplier_id">
      <calculatedColumnFormula>INDEX(products!$A$1:$F$51, MATCH(orders!$A2,products!$A$1:$A$51,0), MATCH(orders!K$1,products!$A$1:$F$1,0))</calculatedColumnFormula>
    </tableColumn>
    <tableColumn id="13" xr3:uid="{783B007C-6E1E-49F3-B0DA-B5195F609A99}" name="price">
      <calculatedColumnFormula>INDEX(products!$A$1:$F$51, MATCH(orders!$A2,products!$A$1:$A$51,0), MATCH(orders!L$1,products!$A$1:$F$1,0))</calculatedColumnFormula>
    </tableColumn>
    <tableColumn id="14" xr3:uid="{0CB442EB-28D3-4F5D-8012-FE49CE840696}" name="stock">
      <calculatedColumnFormula>INDEX(products!$A$1:$F$51, MATCH(orders!$A2,products!$A$1:$A$51,0), MATCH(orders!M$1,products!$A$1:$F$1,0))</calculatedColumnFormula>
    </tableColumn>
    <tableColumn id="15" xr3:uid="{76D6C196-63F6-4BCB-AC2F-86F8BEF7629E}" name="sales" dataDxfId="0">
      <calculatedColumnFormula>L2*F2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4AB2D41-E33E-4A3B-81B6-6586D86647B0}" sourceName="order_date">
  <pivotTables>
    <pivotTable tabId="5" name="PivotTable1"/>
    <pivotTable tabId="7" name="PivotTable1"/>
  </pivotTables>
  <state minimalRefreshVersion="6" lastRefreshVersion="6" pivotCacheId="1346952820" filterType="dateBetween">
    <selection startDate="2026-07-01T00:00:00" endDate="2026-07-31T00:00:00"/>
    <bounds startDate="2025-01-01T00:00:00" endDate="203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8FDB9C8-017F-4872-ABA9-261C1A80D855}" cache="NativeTimeline_order_date" caption="order_date" level="2" selectionLevel="2" scrollPosition="2025-11-10T00:00:00" style="purple timeline style"/>
</timeline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89CB7-7736-4938-87F7-A6AC450A1432}">
  <dimension ref="A3:D5"/>
  <sheetViews>
    <sheetView workbookViewId="0">
      <selection activeCell="D29" sqref="D29"/>
    </sheetView>
  </sheetViews>
  <sheetFormatPr defaultRowHeight="14.4" x14ac:dyDescent="0.3"/>
  <cols>
    <col min="1" max="1" width="12.6640625" bestFit="1" customWidth="1"/>
    <col min="2" max="2" width="9.44140625" customWidth="1"/>
    <col min="3" max="3" width="12.5546875" bestFit="1" customWidth="1"/>
    <col min="4" max="4" width="15.77734375" bestFit="1" customWidth="1"/>
    <col min="5" max="5" width="20.109375" bestFit="1" customWidth="1"/>
    <col min="6" max="6" width="21.109375" bestFit="1" customWidth="1"/>
    <col min="7" max="7" width="13.77734375" bestFit="1" customWidth="1"/>
    <col min="8" max="8" width="10.6640625" bestFit="1" customWidth="1"/>
    <col min="9" max="9" width="9.5546875" bestFit="1" customWidth="1"/>
    <col min="10" max="10" width="16.6640625" bestFit="1" customWidth="1"/>
    <col min="11" max="11" width="13.44140625" bestFit="1" customWidth="1"/>
    <col min="12" max="12" width="12.6640625" bestFit="1" customWidth="1"/>
    <col min="13" max="13" width="10.33203125" bestFit="1" customWidth="1"/>
    <col min="14" max="14" width="12.6640625" bestFit="1" customWidth="1"/>
    <col min="15" max="15" width="10.44140625" bestFit="1" customWidth="1"/>
    <col min="16" max="16" width="9" bestFit="1" customWidth="1"/>
    <col min="17" max="17" width="12.109375" bestFit="1" customWidth="1"/>
    <col min="18" max="19" width="10.6640625" bestFit="1" customWidth="1"/>
    <col min="20" max="20" width="11.109375" bestFit="1" customWidth="1"/>
    <col min="21" max="21" width="12.21875" bestFit="1" customWidth="1"/>
    <col min="22" max="22" width="14.77734375" bestFit="1" customWidth="1"/>
    <col min="23" max="23" width="11.6640625" bestFit="1" customWidth="1"/>
    <col min="24" max="24" width="12.88671875" bestFit="1" customWidth="1"/>
    <col min="25" max="25" width="9.6640625" bestFit="1" customWidth="1"/>
    <col min="26" max="26" width="7.44140625" bestFit="1" customWidth="1"/>
    <col min="27" max="27" width="9.33203125" bestFit="1" customWidth="1"/>
    <col min="28" max="28" width="10.109375" bestFit="1" customWidth="1"/>
    <col min="29" max="29" width="16.77734375" bestFit="1" customWidth="1"/>
    <col min="30" max="30" width="10.88671875" bestFit="1" customWidth="1"/>
    <col min="31" max="31" width="13.6640625" bestFit="1" customWidth="1"/>
    <col min="32" max="32" width="19.44140625" bestFit="1" customWidth="1"/>
    <col min="33" max="33" width="10.88671875" bestFit="1" customWidth="1"/>
    <col min="34" max="34" width="15.33203125" bestFit="1" customWidth="1"/>
    <col min="35" max="35" width="17.21875" bestFit="1" customWidth="1"/>
    <col min="36" max="36" width="9.44140625" bestFit="1" customWidth="1"/>
    <col min="37" max="37" width="10.77734375" bestFit="1" customWidth="1"/>
    <col min="38" max="38" width="10.44140625" bestFit="1" customWidth="1"/>
    <col min="39" max="39" width="11.6640625" bestFit="1" customWidth="1"/>
    <col min="40" max="40" width="12" bestFit="1" customWidth="1"/>
    <col min="41" max="41" width="11.6640625" bestFit="1" customWidth="1"/>
    <col min="42" max="42" width="11" bestFit="1" customWidth="1"/>
    <col min="43" max="43" width="10.88671875" bestFit="1" customWidth="1"/>
    <col min="44" max="44" width="13.5546875" bestFit="1" customWidth="1"/>
    <col min="45" max="45" width="18.33203125" bestFit="1" customWidth="1"/>
    <col min="46" max="46" width="9.109375" bestFit="1" customWidth="1"/>
    <col min="47" max="47" width="11.88671875" bestFit="1" customWidth="1"/>
    <col min="48" max="48" width="21.109375" bestFit="1" customWidth="1"/>
    <col min="49" max="49" width="7.33203125" bestFit="1" customWidth="1"/>
    <col min="50" max="50" width="8.77734375" bestFit="1" customWidth="1"/>
    <col min="51" max="51" width="9.109375" bestFit="1" customWidth="1"/>
    <col min="52" max="52" width="14.21875" bestFit="1" customWidth="1"/>
    <col min="53" max="53" width="12.5546875" bestFit="1" customWidth="1"/>
    <col min="54" max="54" width="5.44140625" bestFit="1" customWidth="1"/>
  </cols>
  <sheetData>
    <row r="3" spans="1:4" x14ac:dyDescent="0.3">
      <c r="A3" s="4" t="s">
        <v>282</v>
      </c>
      <c r="D3" s="4" t="s">
        <v>223</v>
      </c>
    </row>
    <row r="4" spans="1:4" x14ac:dyDescent="0.3">
      <c r="A4" s="4" t="s">
        <v>280</v>
      </c>
      <c r="B4" s="4" t="s">
        <v>281</v>
      </c>
      <c r="C4" s="4" t="s">
        <v>2</v>
      </c>
      <c r="D4" t="s">
        <v>263</v>
      </c>
    </row>
    <row r="5" spans="1:4" x14ac:dyDescent="0.3">
      <c r="A5" t="s">
        <v>283</v>
      </c>
      <c r="B5" t="s">
        <v>284</v>
      </c>
      <c r="C5" s="1" t="s">
        <v>285</v>
      </c>
      <c r="D5" s="5">
        <v>9800</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70ADC-915D-4A93-8439-2AF175606491}">
  <dimension ref="A3:B4"/>
  <sheetViews>
    <sheetView workbookViewId="0">
      <selection activeCell="B3" sqref="B3"/>
    </sheetView>
  </sheetViews>
  <sheetFormatPr defaultRowHeight="14.4" x14ac:dyDescent="0.3"/>
  <cols>
    <col min="1" max="1" width="15.77734375" bestFit="1" customWidth="1"/>
    <col min="2" max="5" width="11.44140625" bestFit="1" customWidth="1"/>
    <col min="6" max="6" width="13.88671875" bestFit="1" customWidth="1"/>
    <col min="7" max="7" width="13.77734375" bestFit="1" customWidth="1"/>
    <col min="8" max="8" width="10.6640625" bestFit="1" customWidth="1"/>
    <col min="9" max="9" width="9.5546875" bestFit="1" customWidth="1"/>
    <col min="10" max="10" width="16.6640625" bestFit="1" customWidth="1"/>
    <col min="11" max="11" width="13.44140625" bestFit="1" customWidth="1"/>
    <col min="12" max="12" width="12.6640625" bestFit="1" customWidth="1"/>
    <col min="13" max="13" width="10.33203125" bestFit="1" customWidth="1"/>
    <col min="14" max="14" width="12.6640625" bestFit="1" customWidth="1"/>
    <col min="15" max="15" width="10.44140625" bestFit="1" customWidth="1"/>
    <col min="16" max="16" width="9" bestFit="1" customWidth="1"/>
    <col min="17" max="17" width="12.109375" bestFit="1" customWidth="1"/>
    <col min="18" max="19" width="10.6640625" bestFit="1" customWidth="1"/>
    <col min="20" max="20" width="11.109375" bestFit="1" customWidth="1"/>
    <col min="21" max="21" width="12.21875" bestFit="1" customWidth="1"/>
    <col min="22" max="22" width="14.77734375" bestFit="1" customWidth="1"/>
    <col min="23" max="23" width="11.6640625" bestFit="1" customWidth="1"/>
    <col min="24" max="24" width="12.88671875" bestFit="1" customWidth="1"/>
    <col min="25" max="25" width="9.6640625" bestFit="1" customWidth="1"/>
    <col min="26" max="26" width="7.44140625" bestFit="1" customWidth="1"/>
    <col min="27" max="27" width="9.33203125" bestFit="1" customWidth="1"/>
    <col min="28" max="28" width="10.109375" bestFit="1" customWidth="1"/>
    <col min="29" max="29" width="16.77734375" bestFit="1" customWidth="1"/>
    <col min="30" max="30" width="10.88671875" bestFit="1" customWidth="1"/>
    <col min="31" max="31" width="13.6640625" bestFit="1" customWidth="1"/>
    <col min="32" max="32" width="19.44140625" bestFit="1" customWidth="1"/>
    <col min="33" max="33" width="10.88671875" bestFit="1" customWidth="1"/>
    <col min="34" max="34" width="15.33203125" bestFit="1" customWidth="1"/>
    <col min="35" max="35" width="17.21875" bestFit="1" customWidth="1"/>
    <col min="36" max="36" width="9.44140625" bestFit="1" customWidth="1"/>
    <col min="37" max="37" width="10.77734375" bestFit="1" customWidth="1"/>
    <col min="38" max="38" width="10.44140625" bestFit="1" customWidth="1"/>
    <col min="39" max="39" width="11.6640625" bestFit="1" customWidth="1"/>
    <col min="40" max="40" width="12" bestFit="1" customWidth="1"/>
    <col min="41" max="41" width="11.6640625" bestFit="1" customWidth="1"/>
    <col min="42" max="42" width="11" bestFit="1" customWidth="1"/>
    <col min="43" max="43" width="10.88671875" bestFit="1" customWidth="1"/>
    <col min="44" max="44" width="13.5546875" bestFit="1" customWidth="1"/>
    <col min="45" max="45" width="18.33203125" bestFit="1" customWidth="1"/>
    <col min="46" max="46" width="9.109375" bestFit="1" customWidth="1"/>
    <col min="47" max="47" width="11.88671875" bestFit="1" customWidth="1"/>
    <col min="48" max="48" width="21.109375" bestFit="1" customWidth="1"/>
    <col min="49" max="49" width="7.33203125" bestFit="1" customWidth="1"/>
    <col min="50" max="50" width="8.77734375" bestFit="1" customWidth="1"/>
    <col min="51" max="51" width="9.109375" bestFit="1" customWidth="1"/>
    <col min="52" max="52" width="14.21875" bestFit="1" customWidth="1"/>
    <col min="53" max="53" width="12.5546875" bestFit="1" customWidth="1"/>
    <col min="54" max="54" width="5.44140625" bestFit="1" customWidth="1"/>
  </cols>
  <sheetData>
    <row r="3" spans="1:2" x14ac:dyDescent="0.3">
      <c r="A3" s="4" t="s">
        <v>223</v>
      </c>
      <c r="B3" t="s">
        <v>282</v>
      </c>
    </row>
    <row r="4" spans="1:2" x14ac:dyDescent="0.3">
      <c r="A4" t="s">
        <v>263</v>
      </c>
      <c r="B4" s="5">
        <v>9800</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B21D2-4E1A-4296-B115-AA519E02EA88}">
  <dimension ref="A1"/>
  <sheetViews>
    <sheetView zoomScale="90" zoomScaleNormal="90" workbookViewId="0">
      <selection activeCell="AC10" sqref="AC10"/>
    </sheetView>
  </sheetViews>
  <sheetFormatPr defaultRowHeight="14.4" x14ac:dyDescent="0.3"/>
  <cols>
    <col min="1" max="6"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0D6C3-59E0-4577-AF78-32B51F1CFEC5}">
  <dimension ref="A3:A5"/>
  <sheetViews>
    <sheetView tabSelected="1" workbookViewId="0">
      <selection activeCell="H28" sqref="H28"/>
    </sheetView>
  </sheetViews>
  <sheetFormatPr defaultRowHeight="14.4" x14ac:dyDescent="0.3"/>
  <cols>
    <col min="1" max="1" width="12.5546875" bestFit="1" customWidth="1"/>
  </cols>
  <sheetData>
    <row r="3" spans="1:1" x14ac:dyDescent="0.3">
      <c r="A3" s="4" t="s">
        <v>286</v>
      </c>
    </row>
    <row r="4" spans="1:1" x14ac:dyDescent="0.3">
      <c r="A4" s="6" t="s">
        <v>5</v>
      </c>
    </row>
    <row r="5" spans="1:1" x14ac:dyDescent="0.3">
      <c r="A5" s="6" t="s">
        <v>287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3"/>
  <sheetViews>
    <sheetView topLeftCell="A2" workbookViewId="0">
      <selection activeCell="F26" sqref="F26"/>
    </sheetView>
  </sheetViews>
  <sheetFormatPr defaultRowHeight="14.4" x14ac:dyDescent="0.3"/>
  <cols>
    <col min="1" max="1" width="12.109375" customWidth="1"/>
    <col min="2" max="2" width="10" customWidth="1"/>
    <col min="3" max="3" width="13.33203125" customWidth="1"/>
    <col min="4" max="4" width="12.6640625" customWidth="1"/>
    <col min="5" max="5" width="13.44140625" customWidth="1"/>
    <col min="6" max="6" width="13" customWidth="1"/>
    <col min="7" max="7" width="7.33203125" customWidth="1"/>
    <col min="8" max="8" width="11.88671875" customWidth="1"/>
    <col min="9" max="9" width="25" customWidth="1"/>
    <col min="10" max="10" width="9.6640625" customWidth="1"/>
    <col min="11" max="11" width="12.77734375" customWidth="1"/>
    <col min="12" max="12" width="12.109375" customWidth="1"/>
    <col min="13" max="13" width="9.44140625" customWidth="1"/>
    <col min="14" max="14" width="18.6640625" customWidth="1"/>
    <col min="15" max="15" width="21.109375" customWidth="1"/>
  </cols>
  <sheetData>
    <row r="1" spans="1:14" x14ac:dyDescent="0.3">
      <c r="A1" t="s">
        <v>222</v>
      </c>
      <c r="B1" t="s">
        <v>0</v>
      </c>
      <c r="C1" t="s">
        <v>1</v>
      </c>
      <c r="D1" t="s">
        <v>2</v>
      </c>
      <c r="E1" t="s">
        <v>3</v>
      </c>
      <c r="F1" t="s">
        <v>278</v>
      </c>
      <c r="G1" t="s">
        <v>9</v>
      </c>
      <c r="H1" t="s">
        <v>11</v>
      </c>
      <c r="I1" t="s">
        <v>223</v>
      </c>
      <c r="J1" t="s">
        <v>224</v>
      </c>
      <c r="K1" t="s">
        <v>225</v>
      </c>
      <c r="L1" t="s">
        <v>226</v>
      </c>
      <c r="M1" t="s">
        <v>227</v>
      </c>
      <c r="N1" t="s">
        <v>279</v>
      </c>
    </row>
    <row r="2" spans="1:14" x14ac:dyDescent="0.3">
      <c r="A2">
        <v>1</v>
      </c>
      <c r="B2">
        <v>1</v>
      </c>
      <c r="C2">
        <v>1</v>
      </c>
      <c r="D2" s="1">
        <v>46204</v>
      </c>
      <c r="E2" t="s">
        <v>5</v>
      </c>
      <c r="F2">
        <v>2</v>
      </c>
      <c r="G2" s="2" t="str">
        <f>_xlfn.XLOOKUP(C2,customers!$A$1:$A$53,customers!$B$1:$B$53,,)</f>
        <v>John</v>
      </c>
      <c r="H2" t="str">
        <f>IF(_xlfn.XLOOKUP(C2,customers!$A$1:$A$53,customers!$D$1:$D$53,,)=0,"",_xlfn.XLOOKUP(C2,customers!$A$1:$A$53,customers!$D$1:$D$53,,))</f>
        <v>john.doe@gmail.com</v>
      </c>
      <c r="I2" t="str">
        <f>INDEX(products!$A$1:$F$51, MATCH(orders!$A2,products!$A$1:$A$51,0), MATCH(orders!I$1,products!$A$1:$F$1,0))</f>
        <v>Dell Laptop</v>
      </c>
      <c r="J2">
        <f>INDEX(products!$A$1:$F$51, MATCH(orders!$A2,products!$A$1:$A$51,0), MATCH(orders!J$1,products!$A$1:$F$1,0))</f>
        <v>3</v>
      </c>
      <c r="K2">
        <f>INDEX(products!$A$1:$F$51, MATCH(orders!$A2,products!$A$1:$A$51,0), MATCH(orders!K$1,products!$A$1:$F$1,0))</f>
        <v>1</v>
      </c>
      <c r="L2">
        <f>INDEX(products!$A$1:$F$51, MATCH(orders!$A2,products!$A$1:$A$51,0), MATCH(orders!L$1,products!$A$1:$F$1,0))</f>
        <v>46000</v>
      </c>
      <c r="M2">
        <f>INDEX(products!$A$1:$F$51, MATCH(orders!$A2,products!$A$1:$A$51,0), MATCH(orders!M$1,products!$A$1:$F$1,0))</f>
        <v>25</v>
      </c>
      <c r="N2" s="3">
        <f>L2*F2</f>
        <v>92000</v>
      </c>
    </row>
    <row r="3" spans="1:14" x14ac:dyDescent="0.3">
      <c r="A3">
        <v>2</v>
      </c>
      <c r="B3">
        <v>2</v>
      </c>
      <c r="C3">
        <v>2</v>
      </c>
      <c r="D3" s="1">
        <v>46204</v>
      </c>
      <c r="E3" t="s">
        <v>4</v>
      </c>
      <c r="F3">
        <v>5</v>
      </c>
      <c r="G3" s="2" t="str">
        <f>_xlfn.XLOOKUP(C3,customers!$A$1:$A$53,customers!$B$1:$B$53,,)</f>
        <v>Mary</v>
      </c>
      <c r="H3" t="str">
        <f>_xlfn.XLOOKUP(C3,customers!$A$1:$A$53,customers!$D$1:$D$53,,)</f>
        <v>mary.smith@gmail.com</v>
      </c>
      <c r="I3" t="str">
        <f>INDEX(products!$A$1:$F$51, MATCH(orders!$A3,products!$A$1:$A$51,0), MATCH(orders!I$1,products!$A$1:$F$1,0))</f>
        <v>HP Laptop</v>
      </c>
      <c r="J3">
        <f>INDEX(products!$A$1:$F$51, MATCH(orders!$A3,products!$A$1:$A$51,0), MATCH(orders!J$1,products!$A$1:$F$1,0))</f>
        <v>3</v>
      </c>
      <c r="K3">
        <f>INDEX(products!$A$1:$F$51, MATCH(orders!$A3,products!$A$1:$A$51,0), MATCH(orders!K$1,products!$A$1:$F$1,0))</f>
        <v>2</v>
      </c>
      <c r="L3">
        <f>INDEX(products!$A$1:$F$51, MATCH(orders!$A3,products!$A$1:$A$51,0), MATCH(orders!L$1,products!$A$1:$F$1,0))</f>
        <v>42000</v>
      </c>
      <c r="M3">
        <f>INDEX(products!$A$1:$F$51, MATCH(orders!$A3,products!$A$1:$A$51,0), MATCH(orders!M$1,products!$A$1:$F$1,0))</f>
        <v>18</v>
      </c>
      <c r="N3" s="3">
        <f t="shared" ref="N3:N53" si="0">L3*F3</f>
        <v>210000</v>
      </c>
    </row>
    <row r="4" spans="1:14" x14ac:dyDescent="0.3">
      <c r="A4">
        <v>3</v>
      </c>
      <c r="B4">
        <v>3</v>
      </c>
      <c r="C4">
        <v>3</v>
      </c>
      <c r="D4" s="1">
        <v>46205</v>
      </c>
      <c r="E4" t="s">
        <v>8</v>
      </c>
      <c r="F4">
        <v>1</v>
      </c>
      <c r="G4" s="2" t="str">
        <f>_xlfn.XLOOKUP(C4,customers!$A$1:$A$53,customers!$B$1:$B$53,,)</f>
        <v>Michael</v>
      </c>
      <c r="H4" t="str">
        <f>_xlfn.XLOOKUP(C4,customers!$A$1:$A$53,customers!$D$1:$D$53,,)</f>
        <v>michael.johnson@gmail.com</v>
      </c>
      <c r="I4" t="str">
        <f>INDEX(products!$A$1:$F$51, MATCH(orders!$A4,products!$A$1:$A$51,0), MATCH(orders!I$1,products!$A$1:$F$1,0))</f>
        <v>Lenovo Laptop</v>
      </c>
      <c r="J4">
        <f>INDEX(products!$A$1:$F$51, MATCH(orders!$A4,products!$A$1:$A$51,0), MATCH(orders!J$1,products!$A$1:$F$1,0))</f>
        <v>3</v>
      </c>
      <c r="K4">
        <f>INDEX(products!$A$1:$F$51, MATCH(orders!$A4,products!$A$1:$A$51,0), MATCH(orders!K$1,products!$A$1:$F$1,0))</f>
        <v>3</v>
      </c>
      <c r="L4">
        <f>INDEX(products!$A$1:$F$51, MATCH(orders!$A4,products!$A$1:$A$51,0), MATCH(orders!L$1,products!$A$1:$F$1,0))</f>
        <v>40000</v>
      </c>
      <c r="M4">
        <f>INDEX(products!$A$1:$F$51, MATCH(orders!$A4,products!$A$1:$A$51,0), MATCH(orders!M$1,products!$A$1:$F$1,0))</f>
        <v>20</v>
      </c>
      <c r="N4" s="3">
        <f t="shared" si="0"/>
        <v>40000</v>
      </c>
    </row>
    <row r="5" spans="1:14" x14ac:dyDescent="0.3">
      <c r="A5">
        <v>4</v>
      </c>
      <c r="B5">
        <v>4</v>
      </c>
      <c r="C5">
        <v>4</v>
      </c>
      <c r="D5" s="1">
        <v>46205</v>
      </c>
      <c r="E5" t="s">
        <v>7</v>
      </c>
      <c r="F5">
        <v>3</v>
      </c>
      <c r="G5" s="2" t="str">
        <f>_xlfn.XLOOKUP(C5,customers!$A$1:$A$53,customers!$B$1:$B$53,,)</f>
        <v>Sarah</v>
      </c>
      <c r="H5" t="str">
        <f>_xlfn.XLOOKUP(C5,customers!$A$1:$A$53,customers!$D$1:$D$53,,)</f>
        <v>sarah.williams@gmail.com</v>
      </c>
      <c r="I5" t="str">
        <f>INDEX(products!$A$1:$F$51, MATCH(orders!$A5,products!$A$1:$A$51,0), MATCH(orders!I$1,products!$A$1:$F$1,0))</f>
        <v>iPhone 15</v>
      </c>
      <c r="J5">
        <f>INDEX(products!$A$1:$F$51, MATCH(orders!$A5,products!$A$1:$A$51,0), MATCH(orders!J$1,products!$A$1:$F$1,0))</f>
        <v>4</v>
      </c>
      <c r="K5">
        <f>INDEX(products!$A$1:$F$51, MATCH(orders!$A5,products!$A$1:$A$51,0), MATCH(orders!K$1,products!$A$1:$F$1,0))</f>
        <v>4</v>
      </c>
      <c r="L5">
        <f>INDEX(products!$A$1:$F$51, MATCH(orders!$A5,products!$A$1:$A$51,0), MATCH(orders!L$1,products!$A$1:$F$1,0))</f>
        <v>65000</v>
      </c>
      <c r="M5">
        <f>INDEX(products!$A$1:$F$51, MATCH(orders!$A5,products!$A$1:$A$51,0), MATCH(orders!M$1,products!$A$1:$F$1,0))</f>
        <v>30</v>
      </c>
      <c r="N5" s="3">
        <f t="shared" si="0"/>
        <v>195000</v>
      </c>
    </row>
    <row r="6" spans="1:14" x14ac:dyDescent="0.3">
      <c r="A6">
        <v>5</v>
      </c>
      <c r="B6">
        <v>5</v>
      </c>
      <c r="C6">
        <v>5</v>
      </c>
      <c r="D6" s="1">
        <v>46206</v>
      </c>
      <c r="E6" t="s">
        <v>5</v>
      </c>
      <c r="F6">
        <v>4</v>
      </c>
      <c r="G6" s="2" t="str">
        <f>_xlfn.XLOOKUP(C6,customers!$A$1:$A$53,customers!$B$1:$B$53,,)</f>
        <v>David</v>
      </c>
      <c r="H6" t="str">
        <f>_xlfn.XLOOKUP(C6,customers!$A$1:$A$53,customers!$D$1:$D$53,,)</f>
        <v>david.brown@gmail.com</v>
      </c>
      <c r="I6" t="str">
        <f>INDEX(products!$A$1:$F$51, MATCH(orders!$A6,products!$A$1:$A$51,0), MATCH(orders!I$1,products!$A$1:$F$1,0))</f>
        <v>Samsung Galaxy S24</v>
      </c>
      <c r="J6">
        <f>INDEX(products!$A$1:$F$51, MATCH(orders!$A6,products!$A$1:$A$51,0), MATCH(orders!J$1,products!$A$1:$F$1,0))</f>
        <v>4</v>
      </c>
      <c r="K6">
        <f>INDEX(products!$A$1:$F$51, MATCH(orders!$A6,products!$A$1:$A$51,0), MATCH(orders!K$1,products!$A$1:$F$1,0))</f>
        <v>5</v>
      </c>
      <c r="L6">
        <f>INDEX(products!$A$1:$F$51, MATCH(orders!$A6,products!$A$1:$A$51,0), MATCH(orders!L$1,products!$A$1:$F$1,0))</f>
        <v>58000</v>
      </c>
      <c r="M6">
        <f>INDEX(products!$A$1:$F$51, MATCH(orders!$A6,products!$A$1:$A$51,0), MATCH(orders!M$1,products!$A$1:$F$1,0))</f>
        <v>22</v>
      </c>
      <c r="N6" s="3">
        <f t="shared" si="0"/>
        <v>232000</v>
      </c>
    </row>
    <row r="7" spans="1:14" x14ac:dyDescent="0.3">
      <c r="A7">
        <v>6</v>
      </c>
      <c r="B7">
        <v>6</v>
      </c>
      <c r="C7">
        <v>6</v>
      </c>
      <c r="D7" s="1">
        <v>46206</v>
      </c>
      <c r="E7" t="s">
        <v>6</v>
      </c>
      <c r="F7">
        <v>2</v>
      </c>
      <c r="G7" s="2" t="str">
        <f>_xlfn.XLOOKUP(C7,customers!$A$1:$A$53,customers!$B$1:$B$53,,)</f>
        <v>Emily</v>
      </c>
      <c r="H7" t="str">
        <f>_xlfn.XLOOKUP(C7,customers!$A$1:$A$53,customers!$D$1:$D$53,,)</f>
        <v>emily.jones@gmail.com</v>
      </c>
      <c r="I7" t="str">
        <f>INDEX(products!$A$1:$F$51, MATCH(orders!$A7,products!$A$1:$A$51,0), MATCH(orders!I$1,products!$A$1:$F$1,0))</f>
        <v>iPad Air</v>
      </c>
      <c r="J7">
        <f>INDEX(products!$A$1:$F$51, MATCH(orders!$A7,products!$A$1:$A$51,0), MATCH(orders!J$1,products!$A$1:$F$1,0))</f>
        <v>5</v>
      </c>
      <c r="K7">
        <f>INDEX(products!$A$1:$F$51, MATCH(orders!$A7,products!$A$1:$A$51,0), MATCH(orders!K$1,products!$A$1:$F$1,0))</f>
        <v>6</v>
      </c>
      <c r="L7">
        <f>INDEX(products!$A$1:$F$51, MATCH(orders!$A7,products!$A$1:$A$51,0), MATCH(orders!L$1,products!$A$1:$F$1,0))</f>
        <v>38000</v>
      </c>
      <c r="M7">
        <f>INDEX(products!$A$1:$F$51, MATCH(orders!$A7,products!$A$1:$A$51,0), MATCH(orders!M$1,products!$A$1:$F$1,0))</f>
        <v>15</v>
      </c>
      <c r="N7" s="3">
        <f t="shared" si="0"/>
        <v>76000</v>
      </c>
    </row>
    <row r="8" spans="1:14" x14ac:dyDescent="0.3">
      <c r="A8">
        <v>7</v>
      </c>
      <c r="B8">
        <v>7</v>
      </c>
      <c r="C8">
        <v>7</v>
      </c>
      <c r="D8" s="1">
        <v>46207</v>
      </c>
      <c r="E8" t="s">
        <v>5</v>
      </c>
      <c r="F8">
        <v>6</v>
      </c>
      <c r="G8" s="2" t="str">
        <f>_xlfn.XLOOKUP(C8,customers!$A$1:$A$53,customers!$B$1:$B$53,,)</f>
        <v>James</v>
      </c>
      <c r="H8" t="str">
        <f>_xlfn.XLOOKUP(C8,customers!$A$1:$A$53,customers!$D$1:$D$53,,)</f>
        <v>james.garcia@gmail.com</v>
      </c>
      <c r="I8" t="str">
        <f>INDEX(products!$A$1:$F$51, MATCH(orders!$A8,products!$A$1:$A$51,0), MATCH(orders!I$1,products!$A$1:$F$1,0))</f>
        <v>Wireless Mouse</v>
      </c>
      <c r="J8">
        <f>INDEX(products!$A$1:$F$51, MATCH(orders!$A8,products!$A$1:$A$51,0), MATCH(orders!J$1,products!$A$1:$F$1,0))</f>
        <v>6</v>
      </c>
      <c r="K8">
        <f>INDEX(products!$A$1:$F$51, MATCH(orders!$A8,products!$A$1:$A$51,0), MATCH(orders!K$1,products!$A$1:$F$1,0))</f>
        <v>7</v>
      </c>
      <c r="L8">
        <f>INDEX(products!$A$1:$F$51, MATCH(orders!$A8,products!$A$1:$A$51,0), MATCH(orders!L$1,products!$A$1:$F$1,0))</f>
        <v>750</v>
      </c>
      <c r="M8">
        <f>INDEX(products!$A$1:$F$51, MATCH(orders!$A8,products!$A$1:$A$51,0), MATCH(orders!M$1,products!$A$1:$F$1,0))</f>
        <v>100</v>
      </c>
      <c r="N8" s="3">
        <f t="shared" si="0"/>
        <v>4500</v>
      </c>
    </row>
    <row r="9" spans="1:14" x14ac:dyDescent="0.3">
      <c r="A9">
        <v>8</v>
      </c>
      <c r="B9">
        <v>8</v>
      </c>
      <c r="C9">
        <v>8</v>
      </c>
      <c r="D9" s="1">
        <v>46207</v>
      </c>
      <c r="E9" t="s">
        <v>4</v>
      </c>
      <c r="F9">
        <v>3</v>
      </c>
      <c r="G9" s="2" t="str">
        <f>_xlfn.XLOOKUP(C9,customers!$A$1:$A$53,customers!$B$1:$B$53,,)</f>
        <v>Olivia</v>
      </c>
      <c r="H9" t="str">
        <f>_xlfn.XLOOKUP(C9,customers!$A$1:$A$53,customers!$D$1:$D$53,,)</f>
        <v>olivia.miller@gmail.com</v>
      </c>
      <c r="I9" t="str">
        <f>INDEX(products!$A$1:$F$51, MATCH(orders!$A9,products!$A$1:$A$51,0), MATCH(orders!I$1,products!$A$1:$F$1,0))</f>
        <v>Mechanical Keyboard</v>
      </c>
      <c r="J9">
        <f>INDEX(products!$A$1:$F$51, MATCH(orders!$A9,products!$A$1:$A$51,0), MATCH(orders!J$1,products!$A$1:$F$1,0))</f>
        <v>6</v>
      </c>
      <c r="K9">
        <f>INDEX(products!$A$1:$F$51, MATCH(orders!$A9,products!$A$1:$A$51,0), MATCH(orders!K$1,products!$A$1:$F$1,0))</f>
        <v>8</v>
      </c>
      <c r="L9">
        <f>INDEX(products!$A$1:$F$51, MATCH(orders!$A9,products!$A$1:$A$51,0), MATCH(orders!L$1,products!$A$1:$F$1,0))</f>
        <v>2500</v>
      </c>
      <c r="M9">
        <f>INDEX(products!$A$1:$F$51, MATCH(orders!$A9,products!$A$1:$A$51,0), MATCH(orders!M$1,products!$A$1:$F$1,0))</f>
        <v>60</v>
      </c>
      <c r="N9" s="3">
        <f t="shared" si="0"/>
        <v>7500</v>
      </c>
    </row>
    <row r="10" spans="1:14" x14ac:dyDescent="0.3">
      <c r="A10">
        <v>9</v>
      </c>
      <c r="B10">
        <v>9</v>
      </c>
      <c r="C10">
        <v>9</v>
      </c>
      <c r="D10" s="1">
        <v>46208</v>
      </c>
      <c r="E10" t="s">
        <v>8</v>
      </c>
      <c r="F10">
        <v>1</v>
      </c>
      <c r="G10" s="2" t="str">
        <f>_xlfn.XLOOKUP(C10,customers!$A$1:$A$53,customers!$B$1:$B$53,,)</f>
        <v>Daniel</v>
      </c>
      <c r="H10" t="str">
        <f>_xlfn.XLOOKUP(C10,customers!$A$1:$A$53,customers!$D$1:$D$53,,)</f>
        <v>daniel.davis@gmail.com</v>
      </c>
      <c r="I10" t="str">
        <f>INDEX(products!$A$1:$F$51, MATCH(orders!$A10,products!$A$1:$A$51,0), MATCH(orders!I$1,products!$A$1:$F$1,0))</f>
        <v>Gaming Headset</v>
      </c>
      <c r="J10">
        <f>INDEX(products!$A$1:$F$51, MATCH(orders!$A10,products!$A$1:$A$51,0), MATCH(orders!J$1,products!$A$1:$F$1,0))</f>
        <v>7</v>
      </c>
      <c r="K10">
        <f>INDEX(products!$A$1:$F$51, MATCH(orders!$A10,products!$A$1:$A$51,0), MATCH(orders!K$1,products!$A$1:$F$1,0))</f>
        <v>9</v>
      </c>
      <c r="L10">
        <f>INDEX(products!$A$1:$F$51, MATCH(orders!$A10,products!$A$1:$A$51,0), MATCH(orders!L$1,products!$A$1:$F$1,0))</f>
        <v>3200</v>
      </c>
      <c r="M10">
        <f>INDEX(products!$A$1:$F$51, MATCH(orders!$A10,products!$A$1:$A$51,0), MATCH(orders!M$1,products!$A$1:$F$1,0))</f>
        <v>45</v>
      </c>
      <c r="N10" s="3">
        <f t="shared" si="0"/>
        <v>3200</v>
      </c>
    </row>
    <row r="11" spans="1:14" x14ac:dyDescent="0.3">
      <c r="A11">
        <v>10</v>
      </c>
      <c r="B11">
        <v>10</v>
      </c>
      <c r="C11">
        <v>10</v>
      </c>
      <c r="D11" s="1">
        <v>46208</v>
      </c>
      <c r="E11" t="s">
        <v>7</v>
      </c>
      <c r="F11">
        <v>5</v>
      </c>
      <c r="G11" s="2" t="str">
        <f>_xlfn.XLOOKUP(C11,customers!$A$1:$A$53,customers!$B$1:$B$53,,)</f>
        <v>Sophia</v>
      </c>
      <c r="H11" t="str">
        <f>_xlfn.XLOOKUP(C11,customers!$A$1:$A$53,customers!$D$1:$D$53,,)</f>
        <v>sophia.wilson@gmail.com</v>
      </c>
      <c r="I11" t="str">
        <f>INDEX(products!$A$1:$F$51, MATCH(orders!$A11,products!$A$1:$A$51,0), MATCH(orders!I$1,products!$A$1:$F$1,0))</f>
        <v>Gaming Chair</v>
      </c>
      <c r="J11">
        <f>INDEX(products!$A$1:$F$51, MATCH(orders!$A11,products!$A$1:$A$51,0), MATCH(orders!J$1,products!$A$1:$F$1,0))</f>
        <v>7</v>
      </c>
      <c r="K11">
        <f>INDEX(products!$A$1:$F$51, MATCH(orders!$A11,products!$A$1:$A$51,0), MATCH(orders!K$1,products!$A$1:$F$1,0))</f>
        <v>10</v>
      </c>
      <c r="L11">
        <f>INDEX(products!$A$1:$F$51, MATCH(orders!$A11,products!$A$1:$A$51,0), MATCH(orders!L$1,products!$A$1:$F$1,0))</f>
        <v>8500</v>
      </c>
      <c r="M11">
        <f>INDEX(products!$A$1:$F$51, MATCH(orders!$A11,products!$A$1:$A$51,0), MATCH(orders!M$1,products!$A$1:$F$1,0))</f>
        <v>12</v>
      </c>
      <c r="N11" s="3">
        <f t="shared" si="0"/>
        <v>42500</v>
      </c>
    </row>
    <row r="12" spans="1:14" x14ac:dyDescent="0.3">
      <c r="A12">
        <v>11</v>
      </c>
      <c r="B12">
        <v>11</v>
      </c>
      <c r="C12">
        <v>11</v>
      </c>
      <c r="D12" s="1">
        <v>46209</v>
      </c>
      <c r="E12" t="s">
        <v>5</v>
      </c>
      <c r="F12">
        <v>2</v>
      </c>
      <c r="G12" s="2" t="str">
        <f>_xlfn.XLOOKUP(C12,customers!$A$1:$A$53,customers!$B$1:$B$53,,)</f>
        <v>Ethan</v>
      </c>
      <c r="H12" t="str">
        <f>_xlfn.XLOOKUP(C12,customers!$A$1:$A$53,customers!$D$1:$D$53,,)</f>
        <v>ethan.moore@gmail.com</v>
      </c>
      <c r="I12" t="str">
        <f>INDEX(products!$A$1:$F$51, MATCH(orders!$A12,products!$A$1:$A$51,0), MATCH(orders!I$1,products!$A$1:$F$1,0))</f>
        <v>Office Desk</v>
      </c>
      <c r="J12">
        <f>INDEX(products!$A$1:$F$51, MATCH(orders!$A12,products!$A$1:$A$51,0), MATCH(orders!J$1,products!$A$1:$F$1,0))</f>
        <v>9</v>
      </c>
      <c r="K12">
        <f>INDEX(products!$A$1:$F$51, MATCH(orders!$A12,products!$A$1:$A$51,0), MATCH(orders!K$1,products!$A$1:$F$1,0))</f>
        <v>11</v>
      </c>
      <c r="L12">
        <f>INDEX(products!$A$1:$F$51, MATCH(orders!$A12,products!$A$1:$A$51,0), MATCH(orders!L$1,products!$A$1:$F$1,0))</f>
        <v>6500</v>
      </c>
      <c r="M12">
        <f>INDEX(products!$A$1:$F$51, MATCH(orders!$A12,products!$A$1:$A$51,0), MATCH(orders!M$1,products!$A$1:$F$1,0))</f>
        <v>20</v>
      </c>
      <c r="N12" s="3">
        <f t="shared" si="0"/>
        <v>13000</v>
      </c>
    </row>
    <row r="13" spans="1:14" x14ac:dyDescent="0.3">
      <c r="A13">
        <v>12</v>
      </c>
      <c r="B13">
        <v>12</v>
      </c>
      <c r="C13">
        <v>12</v>
      </c>
      <c r="D13" s="1">
        <v>46209</v>
      </c>
      <c r="E13" t="s">
        <v>4</v>
      </c>
      <c r="F13">
        <v>4</v>
      </c>
      <c r="G13" s="2" t="str">
        <f>_xlfn.XLOOKUP(C13,customers!$A$1:$A$53,customers!$B$1:$B$53,,)</f>
        <v>Ava</v>
      </c>
      <c r="H13" t="str">
        <f>_xlfn.XLOOKUP(C13,customers!$A$1:$A$53,customers!$D$1:$D$53,,)</f>
        <v>ava.taylor@gmail.com</v>
      </c>
      <c r="I13" t="str">
        <f>INDEX(products!$A$1:$F$51, MATCH(orders!$A13,products!$A$1:$A$51,0), MATCH(orders!I$1,products!$A$1:$F$1,0))</f>
        <v>Office Chair</v>
      </c>
      <c r="J13">
        <f>INDEX(products!$A$1:$F$51, MATCH(orders!$A13,products!$A$1:$A$51,0), MATCH(orders!J$1,products!$A$1:$F$1,0))</f>
        <v>9</v>
      </c>
      <c r="K13">
        <f>INDEX(products!$A$1:$F$51, MATCH(orders!$A13,products!$A$1:$A$51,0), MATCH(orders!K$1,products!$A$1:$F$1,0))</f>
        <v>12</v>
      </c>
      <c r="L13">
        <f>INDEX(products!$A$1:$F$51, MATCH(orders!$A13,products!$A$1:$A$51,0), MATCH(orders!L$1,products!$A$1:$F$1,0))</f>
        <v>4200</v>
      </c>
      <c r="M13">
        <f>INDEX(products!$A$1:$F$51, MATCH(orders!$A13,products!$A$1:$A$51,0), MATCH(orders!M$1,products!$A$1:$F$1,0))</f>
        <v>35</v>
      </c>
      <c r="N13" s="3">
        <f t="shared" si="0"/>
        <v>16800</v>
      </c>
    </row>
    <row r="14" spans="1:14" x14ac:dyDescent="0.3">
      <c r="A14">
        <v>13</v>
      </c>
      <c r="B14">
        <v>13</v>
      </c>
      <c r="C14">
        <v>13</v>
      </c>
      <c r="D14" s="1">
        <v>46210</v>
      </c>
      <c r="E14" t="s">
        <v>5</v>
      </c>
      <c r="F14">
        <v>3</v>
      </c>
      <c r="G14" s="2" t="str">
        <f>_xlfn.XLOOKUP(C14,customers!$A$1:$A$53,customers!$B$1:$B$53,,)</f>
        <v>Noah</v>
      </c>
      <c r="H14" t="str">
        <f>_xlfn.XLOOKUP(C14,customers!$A$1:$A$53,customers!$D$1:$D$53,,)</f>
        <v>noah.anderson@gmail.com</v>
      </c>
      <c r="I14" t="str">
        <f>INDEX(products!$A$1:$F$51, MATCH(orders!$A14,products!$A$1:$A$51,0), MATCH(orders!I$1,products!$A$1:$F$1,0))</f>
        <v>Air Conditioner</v>
      </c>
      <c r="J14">
        <f>INDEX(products!$A$1:$F$51, MATCH(orders!$A14,products!$A$1:$A$51,0), MATCH(orders!J$1,products!$A$1:$F$1,0))</f>
        <v>10</v>
      </c>
      <c r="K14">
        <f>INDEX(products!$A$1:$F$51, MATCH(orders!$A14,products!$A$1:$A$51,0), MATCH(orders!K$1,products!$A$1:$F$1,0))</f>
        <v>13</v>
      </c>
      <c r="L14">
        <f>INDEX(products!$A$1:$F$51, MATCH(orders!$A14,products!$A$1:$A$51,0), MATCH(orders!L$1,products!$A$1:$F$1,0))</f>
        <v>28000</v>
      </c>
      <c r="M14">
        <f>INDEX(products!$A$1:$F$51, MATCH(orders!$A14,products!$A$1:$A$51,0), MATCH(orders!M$1,products!$A$1:$F$1,0))</f>
        <v>10</v>
      </c>
      <c r="N14" s="3">
        <f t="shared" si="0"/>
        <v>84000</v>
      </c>
    </row>
    <row r="15" spans="1:14" x14ac:dyDescent="0.3">
      <c r="A15">
        <v>14</v>
      </c>
      <c r="B15">
        <v>14</v>
      </c>
      <c r="C15">
        <v>14</v>
      </c>
      <c r="D15" s="1">
        <v>46210</v>
      </c>
      <c r="E15" t="s">
        <v>6</v>
      </c>
      <c r="F15">
        <v>1</v>
      </c>
      <c r="G15" s="2" t="str">
        <f>_xlfn.XLOOKUP(C15,customers!$A$1:$A$53,customers!$B$1:$B$53,,)</f>
        <v>Isabella</v>
      </c>
      <c r="H15" t="str">
        <f>_xlfn.XLOOKUP(C15,customers!$A$1:$A$53,customers!$D$1:$D$53,,)</f>
        <v>isabella.thomas@gmail.com</v>
      </c>
      <c r="I15" t="str">
        <f>INDEX(products!$A$1:$F$51, MATCH(orders!$A15,products!$A$1:$A$51,0), MATCH(orders!I$1,products!$A$1:$F$1,0))</f>
        <v>Refrigerator</v>
      </c>
      <c r="J15">
        <f>INDEX(products!$A$1:$F$51, MATCH(orders!$A15,products!$A$1:$A$51,0), MATCH(orders!J$1,products!$A$1:$F$1,0))</f>
        <v>10</v>
      </c>
      <c r="K15">
        <f>INDEX(products!$A$1:$F$51, MATCH(orders!$A15,products!$A$1:$A$51,0), MATCH(orders!K$1,products!$A$1:$F$1,0))</f>
        <v>14</v>
      </c>
      <c r="L15">
        <f>INDEX(products!$A$1:$F$51, MATCH(orders!$A15,products!$A$1:$A$51,0), MATCH(orders!L$1,products!$A$1:$F$1,0))</f>
        <v>35000</v>
      </c>
      <c r="M15">
        <f>INDEX(products!$A$1:$F$51, MATCH(orders!$A15,products!$A$1:$A$51,0), MATCH(orders!M$1,products!$A$1:$F$1,0))</f>
        <v>8</v>
      </c>
      <c r="N15" s="3">
        <f t="shared" si="0"/>
        <v>35000</v>
      </c>
    </row>
    <row r="16" spans="1:14" x14ac:dyDescent="0.3">
      <c r="A16">
        <v>15</v>
      </c>
      <c r="B16">
        <v>15</v>
      </c>
      <c r="C16">
        <v>15</v>
      </c>
      <c r="D16" s="1">
        <v>46211</v>
      </c>
      <c r="E16" t="s">
        <v>8</v>
      </c>
      <c r="F16">
        <v>7</v>
      </c>
      <c r="G16" s="2" t="str">
        <f>_xlfn.XLOOKUP(C16,customers!$A$1:$A$53,customers!$B$1:$B$53,,)</f>
        <v>Liam</v>
      </c>
      <c r="H16" t="str">
        <f>_xlfn.XLOOKUP(C16,customers!$A$1:$A$53,customers!$D$1:$D$53,,)</f>
        <v>liam.jackson@gmail.com</v>
      </c>
      <c r="I16" t="str">
        <f>INDEX(products!$A$1:$F$51, MATCH(orders!$A16,products!$A$1:$A$51,0), MATCH(orders!I$1,products!$A$1:$F$1,0))</f>
        <v>Microwave Oven</v>
      </c>
      <c r="J16">
        <f>INDEX(products!$A$1:$F$51, MATCH(orders!$A16,products!$A$1:$A$51,0), MATCH(orders!J$1,products!$A$1:$F$1,0))</f>
        <v>11</v>
      </c>
      <c r="K16">
        <f>INDEX(products!$A$1:$F$51, MATCH(orders!$A16,products!$A$1:$A$51,0), MATCH(orders!K$1,products!$A$1:$F$1,0))</f>
        <v>15</v>
      </c>
      <c r="L16">
        <f>INDEX(products!$A$1:$F$51, MATCH(orders!$A16,products!$A$1:$A$51,0), MATCH(orders!L$1,products!$A$1:$F$1,0))</f>
        <v>6500</v>
      </c>
      <c r="M16">
        <f>INDEX(products!$A$1:$F$51, MATCH(orders!$A16,products!$A$1:$A$51,0), MATCH(orders!M$1,products!$A$1:$F$1,0))</f>
        <v>18</v>
      </c>
      <c r="N16" s="3">
        <f t="shared" si="0"/>
        <v>45500</v>
      </c>
    </row>
    <row r="17" spans="1:14" x14ac:dyDescent="0.3">
      <c r="A17">
        <v>16</v>
      </c>
      <c r="B17">
        <v>16</v>
      </c>
      <c r="C17">
        <v>16</v>
      </c>
      <c r="D17" s="1">
        <v>46211</v>
      </c>
      <c r="E17" t="s">
        <v>7</v>
      </c>
      <c r="F17">
        <v>2</v>
      </c>
      <c r="G17" s="2" t="str">
        <f>_xlfn.XLOOKUP(C17,customers!$A$1:$A$53,customers!$B$1:$B$53,,)</f>
        <v>Mia</v>
      </c>
      <c r="H17" t="str">
        <f>_xlfn.XLOOKUP(C17,customers!$A$1:$A$53,customers!$D$1:$D$53,,)</f>
        <v>mia.white@gmail.com</v>
      </c>
      <c r="I17" t="str">
        <f>INDEX(products!$A$1:$F$51, MATCH(orders!$A17,products!$A$1:$A$51,0), MATCH(orders!I$1,products!$A$1:$F$1,0))</f>
        <v>Rice Cooker</v>
      </c>
      <c r="J17">
        <f>INDEX(products!$A$1:$F$51, MATCH(orders!$A17,products!$A$1:$A$51,0), MATCH(orders!J$1,products!$A$1:$F$1,0))</f>
        <v>11</v>
      </c>
      <c r="K17">
        <f>INDEX(products!$A$1:$F$51, MATCH(orders!$A17,products!$A$1:$A$51,0), MATCH(orders!K$1,products!$A$1:$F$1,0))</f>
        <v>16</v>
      </c>
      <c r="L17">
        <f>INDEX(products!$A$1:$F$51, MATCH(orders!$A17,products!$A$1:$A$51,0), MATCH(orders!L$1,products!$A$1:$F$1,0))</f>
        <v>2200</v>
      </c>
      <c r="M17">
        <f>INDEX(products!$A$1:$F$51, MATCH(orders!$A17,products!$A$1:$A$51,0), MATCH(orders!M$1,products!$A$1:$F$1,0))</f>
        <v>50</v>
      </c>
      <c r="N17" s="3">
        <f t="shared" si="0"/>
        <v>4400</v>
      </c>
    </row>
    <row r="18" spans="1:14" x14ac:dyDescent="0.3">
      <c r="A18">
        <v>17</v>
      </c>
      <c r="B18">
        <v>17</v>
      </c>
      <c r="C18">
        <v>17</v>
      </c>
      <c r="D18" s="1">
        <v>46212</v>
      </c>
      <c r="E18" t="s">
        <v>5</v>
      </c>
      <c r="F18">
        <v>4</v>
      </c>
      <c r="G18" s="2" t="str">
        <f>_xlfn.XLOOKUP(C18,customers!$A$1:$A$53,customers!$B$1:$B$53,,)</f>
        <v>Lucas</v>
      </c>
      <c r="H18" t="str">
        <f>_xlfn.XLOOKUP(C18,customers!$A$1:$A$53,customers!$D$1:$D$53,,)</f>
        <v>lucas.harris@gmail.com</v>
      </c>
      <c r="I18" t="str">
        <f>INDEX(products!$A$1:$F$51, MATCH(orders!$A18,products!$A$1:$A$51,0), MATCH(orders!I$1,products!$A$1:$F$1,0))</f>
        <v>Garden Hose</v>
      </c>
      <c r="J18">
        <f>INDEX(products!$A$1:$F$51, MATCH(orders!$A18,products!$A$1:$A$51,0), MATCH(orders!J$1,products!$A$1:$F$1,0))</f>
        <v>12</v>
      </c>
      <c r="K18">
        <f>INDEX(products!$A$1:$F$51, MATCH(orders!$A18,products!$A$1:$A$51,0), MATCH(orders!K$1,products!$A$1:$F$1,0))</f>
        <v>17</v>
      </c>
      <c r="L18">
        <f>INDEX(products!$A$1:$F$51, MATCH(orders!$A18,products!$A$1:$A$51,0), MATCH(orders!L$1,products!$A$1:$F$1,0))</f>
        <v>950</v>
      </c>
      <c r="M18">
        <f>INDEX(products!$A$1:$F$51, MATCH(orders!$A18,products!$A$1:$A$51,0), MATCH(orders!M$1,products!$A$1:$F$1,0))</f>
        <v>40</v>
      </c>
      <c r="N18" s="3">
        <f t="shared" si="0"/>
        <v>3800</v>
      </c>
    </row>
    <row r="19" spans="1:14" x14ac:dyDescent="0.3">
      <c r="A19">
        <v>18</v>
      </c>
      <c r="B19">
        <v>18</v>
      </c>
      <c r="C19">
        <v>18</v>
      </c>
      <c r="D19" s="1">
        <v>46212</v>
      </c>
      <c r="E19" t="s">
        <v>4</v>
      </c>
      <c r="F19">
        <v>3</v>
      </c>
      <c r="G19" s="2" t="str">
        <f>_xlfn.XLOOKUP(C19,customers!$A$1:$A$53,customers!$B$1:$B$53,,)</f>
        <v>Charlotte</v>
      </c>
      <c r="H19" t="str">
        <f>_xlfn.XLOOKUP(C19,customers!$A$1:$A$53,customers!$D$1:$D$53,,)</f>
        <v>charlotte.martin@gmail.com</v>
      </c>
      <c r="I19" t="str">
        <f>INDEX(products!$A$1:$F$51, MATCH(orders!$A19,products!$A$1:$A$51,0), MATCH(orders!I$1,products!$A$1:$F$1,0))</f>
        <v>Basketball</v>
      </c>
      <c r="J19">
        <f>INDEX(products!$A$1:$F$51, MATCH(orders!$A19,products!$A$1:$A$51,0), MATCH(orders!J$1,products!$A$1:$F$1,0))</f>
        <v>13</v>
      </c>
      <c r="K19">
        <f>INDEX(products!$A$1:$F$51, MATCH(orders!$A19,products!$A$1:$A$51,0), MATCH(orders!K$1,products!$A$1:$F$1,0))</f>
        <v>18</v>
      </c>
      <c r="L19">
        <f>INDEX(products!$A$1:$F$51, MATCH(orders!$A19,products!$A$1:$A$51,0), MATCH(orders!L$1,products!$A$1:$F$1,0))</f>
        <v>800</v>
      </c>
      <c r="M19">
        <f>INDEX(products!$A$1:$F$51, MATCH(orders!$A19,products!$A$1:$A$51,0), MATCH(orders!M$1,products!$A$1:$F$1,0))</f>
        <v>55</v>
      </c>
      <c r="N19" s="3">
        <f t="shared" si="0"/>
        <v>2400</v>
      </c>
    </row>
    <row r="20" spans="1:14" x14ac:dyDescent="0.3">
      <c r="A20">
        <v>19</v>
      </c>
      <c r="B20">
        <v>19</v>
      </c>
      <c r="C20">
        <v>19</v>
      </c>
      <c r="D20" s="1">
        <v>46213</v>
      </c>
      <c r="E20" t="s">
        <v>8</v>
      </c>
      <c r="F20">
        <v>5</v>
      </c>
      <c r="G20" s="2" t="str">
        <f>_xlfn.XLOOKUP(C20,customers!$A$1:$A$53,customers!$B$1:$B$53,,)</f>
        <v>Benjamin</v>
      </c>
      <c r="H20" t="str">
        <f>_xlfn.XLOOKUP(C20,customers!$A$1:$A$53,customers!$D$1:$D$53,,)</f>
        <v>benjamin.thompson@gmail.com</v>
      </c>
      <c r="I20" t="str">
        <f>INDEX(products!$A$1:$F$51, MATCH(orders!$A20,products!$A$1:$A$51,0), MATCH(orders!I$1,products!$A$1:$F$1,0))</f>
        <v>Treadmill</v>
      </c>
      <c r="J20">
        <f>INDEX(products!$A$1:$F$51, MATCH(orders!$A20,products!$A$1:$A$51,0), MATCH(orders!J$1,products!$A$1:$F$1,0))</f>
        <v>14</v>
      </c>
      <c r="K20">
        <f>INDEX(products!$A$1:$F$51, MATCH(orders!$A20,products!$A$1:$A$51,0), MATCH(orders!K$1,products!$A$1:$F$1,0))</f>
        <v>19</v>
      </c>
      <c r="L20">
        <f>INDEX(products!$A$1:$F$51, MATCH(orders!$A20,products!$A$1:$A$51,0), MATCH(orders!L$1,products!$A$1:$F$1,0))</f>
        <v>25000</v>
      </c>
      <c r="M20">
        <f>INDEX(products!$A$1:$F$51, MATCH(orders!$A20,products!$A$1:$A$51,0), MATCH(orders!M$1,products!$A$1:$F$1,0))</f>
        <v>6</v>
      </c>
      <c r="N20" s="3">
        <f t="shared" si="0"/>
        <v>125000</v>
      </c>
    </row>
    <row r="21" spans="1:14" x14ac:dyDescent="0.3">
      <c r="A21">
        <v>20</v>
      </c>
      <c r="B21">
        <v>20</v>
      </c>
      <c r="C21">
        <v>20</v>
      </c>
      <c r="D21" s="1">
        <v>46213</v>
      </c>
      <c r="E21" t="s">
        <v>5</v>
      </c>
      <c r="F21">
        <v>2</v>
      </c>
      <c r="G21" s="2" t="str">
        <f>_xlfn.XLOOKUP(C21,customers!$A$1:$A$53,customers!$B$1:$B$53,,)</f>
        <v>Amelia</v>
      </c>
      <c r="H21" t="str">
        <f>_xlfn.XLOOKUP(C21,customers!$A$1:$A$53,customers!$D$1:$D$53,,)</f>
        <v>amelia.martinez@gmail.com</v>
      </c>
      <c r="I21" t="str">
        <f>INDEX(products!$A$1:$F$51, MATCH(orders!$A21,products!$A$1:$A$51,0), MATCH(orders!I$1,products!$A$1:$F$1,0))</f>
        <v>Men T-Shirt</v>
      </c>
      <c r="J21">
        <f>INDEX(products!$A$1:$F$51, MATCH(orders!$A21,products!$A$1:$A$51,0), MATCH(orders!J$1,products!$A$1:$F$1,0))</f>
        <v>16</v>
      </c>
      <c r="K21">
        <f>INDEX(products!$A$1:$F$51, MATCH(orders!$A21,products!$A$1:$A$51,0), MATCH(orders!K$1,products!$A$1:$F$1,0))</f>
        <v>20</v>
      </c>
      <c r="L21">
        <f>INDEX(products!$A$1:$F$51, MATCH(orders!$A21,products!$A$1:$A$51,0), MATCH(orders!L$1,products!$A$1:$F$1,0))</f>
        <v>500</v>
      </c>
      <c r="M21">
        <f>INDEX(products!$A$1:$F$51, MATCH(orders!$A21,products!$A$1:$A$51,0), MATCH(orders!M$1,products!$A$1:$F$1,0))</f>
        <v>150</v>
      </c>
      <c r="N21" s="3">
        <f t="shared" si="0"/>
        <v>1000</v>
      </c>
    </row>
    <row r="22" spans="1:14" x14ac:dyDescent="0.3">
      <c r="A22">
        <v>21</v>
      </c>
      <c r="B22">
        <v>21</v>
      </c>
      <c r="C22">
        <v>21</v>
      </c>
      <c r="D22" s="1">
        <v>46214</v>
      </c>
      <c r="E22" t="s">
        <v>7</v>
      </c>
      <c r="F22">
        <v>6</v>
      </c>
      <c r="G22" s="2" t="str">
        <f>_xlfn.XLOOKUP(C22,customers!$A$1:$A$53,customers!$B$1:$B$53,,)</f>
        <v>Henry</v>
      </c>
      <c r="H22" t="str">
        <f>_xlfn.XLOOKUP(C22,customers!$A$1:$A$53,customers!$D$1:$D$53,,)</f>
        <v>henry.robinson@gmail.com</v>
      </c>
      <c r="I22" t="str">
        <f>INDEX(products!$A$1:$F$51, MATCH(orders!$A22,products!$A$1:$A$51,0), MATCH(orders!I$1,products!$A$1:$F$1,0))</f>
        <v>Women Dress</v>
      </c>
      <c r="J22">
        <f>INDEX(products!$A$1:$F$51, MATCH(orders!$A22,products!$A$1:$A$51,0), MATCH(orders!J$1,products!$A$1:$F$1,0))</f>
        <v>17</v>
      </c>
      <c r="K22">
        <f>INDEX(products!$A$1:$F$51, MATCH(orders!$A22,products!$A$1:$A$51,0), MATCH(orders!K$1,products!$A$1:$F$1,0))</f>
        <v>21</v>
      </c>
      <c r="L22">
        <f>INDEX(products!$A$1:$F$51, MATCH(orders!$A22,products!$A$1:$A$51,0), MATCH(orders!L$1,products!$A$1:$F$1,0))</f>
        <v>1200</v>
      </c>
      <c r="M22">
        <f>INDEX(products!$A$1:$F$51, MATCH(orders!$A22,products!$A$1:$A$51,0), MATCH(orders!M$1,products!$A$1:$F$1,0))</f>
        <v>90</v>
      </c>
      <c r="N22" s="3">
        <f t="shared" si="0"/>
        <v>7200</v>
      </c>
    </row>
    <row r="23" spans="1:14" x14ac:dyDescent="0.3">
      <c r="A23">
        <v>22</v>
      </c>
      <c r="B23">
        <v>22</v>
      </c>
      <c r="C23">
        <v>22</v>
      </c>
      <c r="D23" s="1">
        <v>46214</v>
      </c>
      <c r="E23" t="s">
        <v>4</v>
      </c>
      <c r="F23">
        <v>1</v>
      </c>
      <c r="G23" s="2" t="str">
        <f>_xlfn.XLOOKUP(C23,customers!$A$1:$A$53,customers!$B$1:$B$53,,)</f>
        <v>Evelyn</v>
      </c>
      <c r="H23" t="str">
        <f>_xlfn.XLOOKUP(C23,customers!$A$1:$A$53,customers!$D$1:$D$53,,)</f>
        <v>evelyn.clark@gmail.com</v>
      </c>
      <c r="I23" t="str">
        <f>INDEX(products!$A$1:$F$51, MATCH(orders!$A23,products!$A$1:$A$51,0), MATCH(orders!I$1,products!$A$1:$F$1,0))</f>
        <v>Kids Jacket</v>
      </c>
      <c r="J23">
        <f>INDEX(products!$A$1:$F$51, MATCH(orders!$A23,products!$A$1:$A$51,0), MATCH(orders!J$1,products!$A$1:$F$1,0))</f>
        <v>18</v>
      </c>
      <c r="K23">
        <f>INDEX(products!$A$1:$F$51, MATCH(orders!$A23,products!$A$1:$A$51,0), MATCH(orders!K$1,products!$A$1:$F$1,0))</f>
        <v>22</v>
      </c>
      <c r="L23">
        <f>INDEX(products!$A$1:$F$51, MATCH(orders!$A23,products!$A$1:$A$51,0), MATCH(orders!L$1,products!$A$1:$F$1,0))</f>
        <v>850</v>
      </c>
      <c r="M23">
        <f>INDEX(products!$A$1:$F$51, MATCH(orders!$A23,products!$A$1:$A$51,0), MATCH(orders!M$1,products!$A$1:$F$1,0))</f>
        <v>70</v>
      </c>
      <c r="N23" s="3">
        <f t="shared" si="0"/>
        <v>850</v>
      </c>
    </row>
    <row r="24" spans="1:14" x14ac:dyDescent="0.3">
      <c r="A24">
        <v>23</v>
      </c>
      <c r="B24">
        <v>23</v>
      </c>
      <c r="C24">
        <v>23</v>
      </c>
      <c r="D24" s="1">
        <v>46215</v>
      </c>
      <c r="E24" t="s">
        <v>5</v>
      </c>
      <c r="F24">
        <v>3</v>
      </c>
      <c r="G24" s="2" t="str">
        <f>_xlfn.XLOOKUP(C24,customers!$A$1:$A$53,customers!$B$1:$B$53,,)</f>
        <v>Alexander</v>
      </c>
      <c r="H24" t="str">
        <f>_xlfn.XLOOKUP(C24,customers!$A$1:$A$53,customers!$D$1:$D$53,,)</f>
        <v>alexander.rodriguez@gmail.com</v>
      </c>
      <c r="I24" t="str">
        <f>INDEX(products!$A$1:$F$51, MATCH(orders!$A24,products!$A$1:$A$51,0), MATCH(orders!I$1,products!$A$1:$F$1,0))</f>
        <v>Running Shoes</v>
      </c>
      <c r="J24">
        <f>INDEX(products!$A$1:$F$51, MATCH(orders!$A24,products!$A$1:$A$51,0), MATCH(orders!J$1,products!$A$1:$F$1,0))</f>
        <v>19</v>
      </c>
      <c r="K24">
        <f>INDEX(products!$A$1:$F$51, MATCH(orders!$A24,products!$A$1:$A$51,0), MATCH(orders!K$1,products!$A$1:$F$1,0))</f>
        <v>23</v>
      </c>
      <c r="L24">
        <f>INDEX(products!$A$1:$F$51, MATCH(orders!$A24,products!$A$1:$A$51,0), MATCH(orders!L$1,products!$A$1:$F$1,0))</f>
        <v>3500</v>
      </c>
      <c r="M24">
        <f>INDEX(products!$A$1:$F$51, MATCH(orders!$A24,products!$A$1:$A$51,0), MATCH(orders!M$1,products!$A$1:$F$1,0))</f>
        <v>45</v>
      </c>
      <c r="N24" s="3">
        <f t="shared" si="0"/>
        <v>10500</v>
      </c>
    </row>
    <row r="25" spans="1:14" x14ac:dyDescent="0.3">
      <c r="A25">
        <v>24</v>
      </c>
      <c r="B25">
        <v>24</v>
      </c>
      <c r="C25">
        <v>24</v>
      </c>
      <c r="D25" s="1">
        <v>46215</v>
      </c>
      <c r="E25" t="s">
        <v>6</v>
      </c>
      <c r="F25">
        <v>2</v>
      </c>
      <c r="G25" s="2" t="str">
        <f>_xlfn.XLOOKUP(C25,customers!$A$1:$A$53,customers!$B$1:$B$53,,)</f>
        <v>Harper</v>
      </c>
      <c r="H25" t="str">
        <f>_xlfn.XLOOKUP(C25,customers!$A$1:$A$53,customers!$D$1:$D$53,,)</f>
        <v>harper.lewis@gmail.com</v>
      </c>
      <c r="I25" t="str">
        <f>INDEX(products!$A$1:$F$51, MATCH(orders!$A25,products!$A$1:$A$51,0), MATCH(orders!I$1,products!$A$1:$F$1,0))</f>
        <v>Leather Bag</v>
      </c>
      <c r="J25">
        <f>INDEX(products!$A$1:$F$51, MATCH(orders!$A25,products!$A$1:$A$51,0), MATCH(orders!J$1,products!$A$1:$F$1,0))</f>
        <v>20</v>
      </c>
      <c r="K25">
        <f>INDEX(products!$A$1:$F$51, MATCH(orders!$A25,products!$A$1:$A$51,0), MATCH(orders!K$1,products!$A$1:$F$1,0))</f>
        <v>24</v>
      </c>
      <c r="L25">
        <f>INDEX(products!$A$1:$F$51, MATCH(orders!$A25,products!$A$1:$A$51,0), MATCH(orders!L$1,products!$A$1:$F$1,0))</f>
        <v>2800</v>
      </c>
      <c r="M25">
        <f>INDEX(products!$A$1:$F$51, MATCH(orders!$A25,products!$A$1:$A$51,0), MATCH(orders!M$1,products!$A$1:$F$1,0))</f>
        <v>30</v>
      </c>
      <c r="N25" s="3">
        <f t="shared" si="0"/>
        <v>5600</v>
      </c>
    </row>
    <row r="26" spans="1:14" x14ac:dyDescent="0.3">
      <c r="A26">
        <v>25</v>
      </c>
      <c r="B26">
        <v>25</v>
      </c>
      <c r="C26">
        <v>25</v>
      </c>
      <c r="D26" s="1">
        <v>46216</v>
      </c>
      <c r="E26" t="s">
        <v>8</v>
      </c>
      <c r="F26">
        <v>4</v>
      </c>
      <c r="G26" s="2" t="str">
        <f>_xlfn.XLOOKUP(C26,customers!$A$1:$A$53,customers!$B$1:$B$53,,)</f>
        <v>William</v>
      </c>
      <c r="H26" t="str">
        <f>_xlfn.XLOOKUP(C26,customers!$A$1:$A$53,customers!$D$1:$D$53,,)</f>
        <v>william.lee@gmail.com</v>
      </c>
      <c r="I26" t="str">
        <f>INDEX(products!$A$1:$F$51, MATCH(orders!$A26,products!$A$1:$A$51,0), MATCH(orders!I$1,products!$A$1:$F$1,0))</f>
        <v>Smart Watch</v>
      </c>
      <c r="J26">
        <f>INDEX(products!$A$1:$F$51, MATCH(orders!$A26,products!$A$1:$A$51,0), MATCH(orders!J$1,products!$A$1:$F$1,0))</f>
        <v>21</v>
      </c>
      <c r="K26">
        <f>INDEX(products!$A$1:$F$51, MATCH(orders!$A26,products!$A$1:$A$51,0), MATCH(orders!K$1,products!$A$1:$F$1,0))</f>
        <v>25</v>
      </c>
      <c r="L26">
        <f>INDEX(products!$A$1:$F$51, MATCH(orders!$A26,products!$A$1:$A$51,0), MATCH(orders!L$1,products!$A$1:$F$1,0))</f>
        <v>8500</v>
      </c>
      <c r="M26">
        <f>INDEX(products!$A$1:$F$51, MATCH(orders!$A26,products!$A$1:$A$51,0), MATCH(orders!M$1,products!$A$1:$F$1,0))</f>
        <v>28</v>
      </c>
      <c r="N26" s="3">
        <f t="shared" si="0"/>
        <v>34000</v>
      </c>
    </row>
    <row r="27" spans="1:14" x14ac:dyDescent="0.3">
      <c r="A27">
        <v>26</v>
      </c>
      <c r="B27">
        <v>26</v>
      </c>
      <c r="C27">
        <v>26</v>
      </c>
      <c r="D27" s="1">
        <v>46216</v>
      </c>
      <c r="E27" t="s">
        <v>5</v>
      </c>
      <c r="F27">
        <v>5</v>
      </c>
      <c r="G27" s="2" t="str">
        <f>_xlfn.XLOOKUP(C27,customers!$A$1:$A$53,customers!$B$1:$B$53,,)</f>
        <v>Ella</v>
      </c>
      <c r="H27" t="str">
        <f>_xlfn.XLOOKUP(C27,customers!$A$1:$A$53,customers!$D$1:$D$53,,)</f>
        <v>ella.walker@gmail.com</v>
      </c>
      <c r="I27" t="str">
        <f>INDEX(products!$A$1:$F$51, MATCH(orders!$A27,products!$A$1:$A$51,0), MATCH(orders!I$1,products!$A$1:$F$1,0))</f>
        <v>Gold Necklace</v>
      </c>
      <c r="J27">
        <f>INDEX(products!$A$1:$F$51, MATCH(orders!$A27,products!$A$1:$A$51,0), MATCH(orders!J$1,products!$A$1:$F$1,0))</f>
        <v>22</v>
      </c>
      <c r="K27">
        <f>INDEX(products!$A$1:$F$51, MATCH(orders!$A27,products!$A$1:$A$51,0), MATCH(orders!K$1,products!$A$1:$F$1,0))</f>
        <v>26</v>
      </c>
      <c r="L27">
        <f>INDEX(products!$A$1:$F$51, MATCH(orders!$A27,products!$A$1:$A$51,0), MATCH(orders!L$1,products!$A$1:$F$1,0))</f>
        <v>18000</v>
      </c>
      <c r="M27">
        <f>INDEX(products!$A$1:$F$51, MATCH(orders!$A27,products!$A$1:$A$51,0), MATCH(orders!M$1,products!$A$1:$F$1,0))</f>
        <v>10</v>
      </c>
      <c r="N27" s="3">
        <f t="shared" si="0"/>
        <v>90000</v>
      </c>
    </row>
    <row r="28" spans="1:14" x14ac:dyDescent="0.3">
      <c r="A28">
        <v>27</v>
      </c>
      <c r="B28">
        <v>27</v>
      </c>
      <c r="C28">
        <v>27</v>
      </c>
      <c r="D28" s="1">
        <v>46217</v>
      </c>
      <c r="E28" t="s">
        <v>7</v>
      </c>
      <c r="F28">
        <v>2</v>
      </c>
      <c r="G28" s="2" t="str">
        <f>_xlfn.XLOOKUP(C28,customers!$A$1:$A$53,customers!$B$1:$B$53,,)</f>
        <v>Jacob</v>
      </c>
      <c r="H28" t="str">
        <f>_xlfn.XLOOKUP(C28,customers!$A$1:$A$53,customers!$D$1:$D$53,,)</f>
        <v>jacob.hall@gmail.com</v>
      </c>
      <c r="I28" t="str">
        <f>INDEX(products!$A$1:$F$51, MATCH(orders!$A28,products!$A$1:$A$51,0), MATCH(orders!I$1,products!$A$1:$F$1,0))</f>
        <v>Face Cream</v>
      </c>
      <c r="J28">
        <f>INDEX(products!$A$1:$F$51, MATCH(orders!$A28,products!$A$1:$A$51,0), MATCH(orders!J$1,products!$A$1:$F$1,0))</f>
        <v>23</v>
      </c>
      <c r="K28">
        <f>INDEX(products!$A$1:$F$51, MATCH(orders!$A28,products!$A$1:$A$51,0), MATCH(orders!K$1,products!$A$1:$F$1,0))</f>
        <v>27</v>
      </c>
      <c r="L28">
        <f>INDEX(products!$A$1:$F$51, MATCH(orders!$A28,products!$A$1:$A$51,0), MATCH(orders!L$1,products!$A$1:$F$1,0))</f>
        <v>450</v>
      </c>
      <c r="M28">
        <f>INDEX(products!$A$1:$F$51, MATCH(orders!$A28,products!$A$1:$A$51,0), MATCH(orders!M$1,products!$A$1:$F$1,0))</f>
        <v>120</v>
      </c>
      <c r="N28" s="3">
        <f t="shared" si="0"/>
        <v>900</v>
      </c>
    </row>
    <row r="29" spans="1:14" x14ac:dyDescent="0.3">
      <c r="A29">
        <v>28</v>
      </c>
      <c r="B29">
        <v>28</v>
      </c>
      <c r="C29">
        <v>28</v>
      </c>
      <c r="D29" s="1">
        <v>46217</v>
      </c>
      <c r="E29" t="s">
        <v>4</v>
      </c>
      <c r="F29">
        <v>6</v>
      </c>
      <c r="G29" s="2" t="str">
        <f>_xlfn.XLOOKUP(C29,customers!$A$1:$A$53,customers!$B$1:$B$53,,)</f>
        <v>Abigail</v>
      </c>
      <c r="H29" t="str">
        <f>_xlfn.XLOOKUP(C29,customers!$A$1:$A$53,customers!$D$1:$D$53,,)</f>
        <v>abigail.allen@gmail.com</v>
      </c>
      <c r="I29" t="str">
        <f>INDEX(products!$A$1:$F$51, MATCH(orders!$A29,products!$A$1:$A$51,0), MATCH(orders!I$1,products!$A$1:$F$1,0))</f>
        <v>Vitamin C</v>
      </c>
      <c r="J29">
        <f>INDEX(products!$A$1:$F$51, MATCH(orders!$A29,products!$A$1:$A$51,0), MATCH(orders!J$1,products!$A$1:$F$1,0))</f>
        <v>24</v>
      </c>
      <c r="K29">
        <f>INDEX(products!$A$1:$F$51, MATCH(orders!$A29,products!$A$1:$A$51,0), MATCH(orders!K$1,products!$A$1:$F$1,0))</f>
        <v>28</v>
      </c>
      <c r="L29">
        <f>INDEX(products!$A$1:$F$51, MATCH(orders!$A29,products!$A$1:$A$51,0), MATCH(orders!L$1,products!$A$1:$F$1,0))</f>
        <v>600</v>
      </c>
      <c r="M29">
        <f>INDEX(products!$A$1:$F$51, MATCH(orders!$A29,products!$A$1:$A$51,0), MATCH(orders!M$1,products!$A$1:$F$1,0))</f>
        <v>80</v>
      </c>
      <c r="N29" s="3">
        <f t="shared" si="0"/>
        <v>3600</v>
      </c>
    </row>
    <row r="30" spans="1:14" x14ac:dyDescent="0.3">
      <c r="A30">
        <v>29</v>
      </c>
      <c r="B30">
        <v>29</v>
      </c>
      <c r="C30">
        <v>29</v>
      </c>
      <c r="D30" s="1">
        <v>46218</v>
      </c>
      <c r="E30" t="s">
        <v>5</v>
      </c>
      <c r="F30">
        <v>3</v>
      </c>
      <c r="G30" s="2" t="str">
        <f>_xlfn.XLOOKUP(C30,customers!$A$1:$A$53,customers!$B$1:$B$53,,)</f>
        <v>Matthew</v>
      </c>
      <c r="H30" t="str">
        <f>_xlfn.XLOOKUP(C30,customers!$A$1:$A$53,customers!$D$1:$D$53,,)</f>
        <v>matthew.young@gmail.com</v>
      </c>
      <c r="I30" t="str">
        <f>INDEX(products!$A$1:$F$51, MATCH(orders!$A30,products!$A$1:$A$51,0), MATCH(orders!I$1,products!$A$1:$F$1,0))</f>
        <v>Shampoo</v>
      </c>
      <c r="J30">
        <f>INDEX(products!$A$1:$F$51, MATCH(orders!$A30,products!$A$1:$A$51,0), MATCH(orders!J$1,products!$A$1:$F$1,0))</f>
        <v>25</v>
      </c>
      <c r="K30">
        <f>INDEX(products!$A$1:$F$51, MATCH(orders!$A30,products!$A$1:$A$51,0), MATCH(orders!K$1,products!$A$1:$F$1,0))</f>
        <v>29</v>
      </c>
      <c r="L30">
        <f>INDEX(products!$A$1:$F$51, MATCH(orders!$A30,products!$A$1:$A$51,0), MATCH(orders!L$1,products!$A$1:$F$1,0))</f>
        <v>250</v>
      </c>
      <c r="M30">
        <f>INDEX(products!$A$1:$F$51, MATCH(orders!$A30,products!$A$1:$A$51,0), MATCH(orders!M$1,products!$A$1:$F$1,0))</f>
        <v>200</v>
      </c>
      <c r="N30" s="3">
        <f t="shared" si="0"/>
        <v>750</v>
      </c>
    </row>
    <row r="31" spans="1:14" x14ac:dyDescent="0.3">
      <c r="A31">
        <v>30</v>
      </c>
      <c r="B31">
        <v>30</v>
      </c>
      <c r="C31">
        <v>30</v>
      </c>
      <c r="D31" s="1">
        <v>46218</v>
      </c>
      <c r="E31" t="s">
        <v>8</v>
      </c>
      <c r="F31">
        <v>1</v>
      </c>
      <c r="G31" s="2" t="str">
        <f>_xlfn.XLOOKUP(C31,customers!$A$1:$A$53,customers!$B$1:$B$53,,)</f>
        <v>Grace</v>
      </c>
      <c r="H31" t="str">
        <f>_xlfn.XLOOKUP(C31,customers!$A$1:$A$53,customers!$D$1:$D$53,,)</f>
        <v>grace.king@gmail.com</v>
      </c>
      <c r="I31" t="str">
        <f>INDEX(products!$A$1:$F$51, MATCH(orders!$A31,products!$A$1:$A$51,0), MATCH(orders!I$1,products!$A$1:$F$1,0))</f>
        <v>SQL Programming Book</v>
      </c>
      <c r="J31">
        <f>INDEX(products!$A$1:$F$51, MATCH(orders!$A31,products!$A$1:$A$51,0), MATCH(orders!J$1,products!$A$1:$F$1,0))</f>
        <v>26</v>
      </c>
      <c r="K31">
        <f>INDEX(products!$A$1:$F$51, MATCH(orders!$A31,products!$A$1:$A$51,0), MATCH(orders!K$1,products!$A$1:$F$1,0))</f>
        <v>30</v>
      </c>
      <c r="L31">
        <f>INDEX(products!$A$1:$F$51, MATCH(orders!$A31,products!$A$1:$A$51,0), MATCH(orders!L$1,products!$A$1:$F$1,0))</f>
        <v>950</v>
      </c>
      <c r="M31">
        <f>INDEX(products!$A$1:$F$51, MATCH(orders!$A31,products!$A$1:$A$51,0), MATCH(orders!M$1,products!$A$1:$F$1,0))</f>
        <v>40</v>
      </c>
      <c r="N31" s="3">
        <f t="shared" si="0"/>
        <v>950</v>
      </c>
    </row>
    <row r="32" spans="1:14" x14ac:dyDescent="0.3">
      <c r="A32">
        <v>31</v>
      </c>
      <c r="B32">
        <v>31</v>
      </c>
      <c r="C32">
        <v>31</v>
      </c>
      <c r="D32" s="1">
        <v>46219</v>
      </c>
      <c r="E32" t="s">
        <v>5</v>
      </c>
      <c r="F32">
        <v>4</v>
      </c>
      <c r="G32" s="2" t="str">
        <f>_xlfn.XLOOKUP(C32,customers!$A$1:$A$53,customers!$B$1:$B$53,,)</f>
        <v>Samuel</v>
      </c>
      <c r="H32" t="str">
        <f>_xlfn.XLOOKUP(C32,customers!$A$1:$A$53,customers!$D$1:$D$53,,)</f>
        <v>samuel.wright@gmail.com</v>
      </c>
      <c r="I32" t="str">
        <f>INDEX(products!$A$1:$F$51, MATCH(orders!$A32,products!$A$1:$A$51,0), MATCH(orders!I$1,products!$A$1:$F$1,0))</f>
        <v>Notebook</v>
      </c>
      <c r="J32">
        <f>INDEX(products!$A$1:$F$51, MATCH(orders!$A32,products!$A$1:$A$51,0), MATCH(orders!J$1,products!$A$1:$F$1,0))</f>
        <v>27</v>
      </c>
      <c r="K32">
        <f>INDEX(products!$A$1:$F$51, MATCH(orders!$A32,products!$A$1:$A$51,0), MATCH(orders!K$1,products!$A$1:$F$1,0))</f>
        <v>31</v>
      </c>
      <c r="L32">
        <f>INDEX(products!$A$1:$F$51, MATCH(orders!$A32,products!$A$1:$A$51,0), MATCH(orders!L$1,products!$A$1:$F$1,0))</f>
        <v>80</v>
      </c>
      <c r="M32">
        <f>INDEX(products!$A$1:$F$51, MATCH(orders!$A32,products!$A$1:$A$51,0), MATCH(orders!M$1,products!$A$1:$F$1,0))</f>
        <v>300</v>
      </c>
      <c r="N32" s="3">
        <f t="shared" si="0"/>
        <v>320</v>
      </c>
    </row>
    <row r="33" spans="1:14" x14ac:dyDescent="0.3">
      <c r="A33">
        <v>32</v>
      </c>
      <c r="B33">
        <v>32</v>
      </c>
      <c r="C33">
        <v>32</v>
      </c>
      <c r="D33" s="1">
        <v>46219</v>
      </c>
      <c r="E33" t="s">
        <v>7</v>
      </c>
      <c r="F33">
        <v>2</v>
      </c>
      <c r="G33" s="2" t="str">
        <f>_xlfn.XLOOKUP(C33,customers!$A$1:$A$53,customers!$B$1:$B$53,,)</f>
        <v>Chloe</v>
      </c>
      <c r="H33" t="str">
        <f>_xlfn.XLOOKUP(C33,customers!$A$1:$A$53,customers!$D$1:$D$53,,)</f>
        <v>chloe.scott@gmail.com</v>
      </c>
      <c r="I33" t="str">
        <f>INDEX(products!$A$1:$F$51, MATCH(orders!$A33,products!$A$1:$A$51,0), MATCH(orders!I$1,products!$A$1:$F$1,0))</f>
        <v>Toy Car</v>
      </c>
      <c r="J33">
        <f>INDEX(products!$A$1:$F$51, MATCH(orders!$A33,products!$A$1:$A$51,0), MATCH(orders!J$1,products!$A$1:$F$1,0))</f>
        <v>28</v>
      </c>
      <c r="K33">
        <f>INDEX(products!$A$1:$F$51, MATCH(orders!$A33,products!$A$1:$A$51,0), MATCH(orders!K$1,products!$A$1:$F$1,0))</f>
        <v>32</v>
      </c>
      <c r="L33">
        <f>INDEX(products!$A$1:$F$51, MATCH(orders!$A33,products!$A$1:$A$51,0), MATCH(orders!L$1,products!$A$1:$F$1,0))</f>
        <v>350</v>
      </c>
      <c r="M33">
        <f>INDEX(products!$A$1:$F$51, MATCH(orders!$A33,products!$A$1:$A$51,0), MATCH(orders!M$1,products!$A$1:$F$1,0))</f>
        <v>110</v>
      </c>
      <c r="N33" s="3">
        <f t="shared" si="0"/>
        <v>700</v>
      </c>
    </row>
    <row r="34" spans="1:14" x14ac:dyDescent="0.3">
      <c r="A34">
        <v>33</v>
      </c>
      <c r="B34">
        <v>33</v>
      </c>
      <c r="C34">
        <v>33</v>
      </c>
      <c r="D34" s="1">
        <v>46220</v>
      </c>
      <c r="E34" t="s">
        <v>6</v>
      </c>
      <c r="F34">
        <v>5</v>
      </c>
      <c r="G34" s="2" t="str">
        <f>_xlfn.XLOOKUP(C34,customers!$A$1:$A$53,customers!$B$1:$B$53,,)</f>
        <v>Joseph</v>
      </c>
      <c r="H34" t="str">
        <f>_xlfn.XLOOKUP(C34,customers!$A$1:$A$53,customers!$D$1:$D$53,,)</f>
        <v>joseph.green@gmail.com</v>
      </c>
      <c r="I34" t="str">
        <f>INDEX(products!$A$1:$F$51, MATCH(orders!$A34,products!$A$1:$A$51,0), MATCH(orders!I$1,products!$A$1:$F$1,0))</f>
        <v>Baby Bottle</v>
      </c>
      <c r="J34">
        <f>INDEX(products!$A$1:$F$51, MATCH(orders!$A34,products!$A$1:$A$51,0), MATCH(orders!J$1,products!$A$1:$F$1,0))</f>
        <v>29</v>
      </c>
      <c r="K34">
        <f>INDEX(products!$A$1:$F$51, MATCH(orders!$A34,products!$A$1:$A$51,0), MATCH(orders!K$1,products!$A$1:$F$1,0))</f>
        <v>33</v>
      </c>
      <c r="L34">
        <f>INDEX(products!$A$1:$F$51, MATCH(orders!$A34,products!$A$1:$A$51,0), MATCH(orders!L$1,products!$A$1:$F$1,0))</f>
        <v>280</v>
      </c>
      <c r="M34">
        <f>INDEX(products!$A$1:$F$51, MATCH(orders!$A34,products!$A$1:$A$51,0), MATCH(orders!M$1,products!$A$1:$F$1,0))</f>
        <v>95</v>
      </c>
      <c r="N34" s="3">
        <f t="shared" si="0"/>
        <v>1400</v>
      </c>
    </row>
    <row r="35" spans="1:14" x14ac:dyDescent="0.3">
      <c r="A35">
        <v>34</v>
      </c>
      <c r="B35">
        <v>34</v>
      </c>
      <c r="C35">
        <v>34</v>
      </c>
      <c r="D35" s="1">
        <v>46220</v>
      </c>
      <c r="E35" t="s">
        <v>4</v>
      </c>
      <c r="F35">
        <v>3</v>
      </c>
      <c r="G35" s="2" t="str">
        <f>_xlfn.XLOOKUP(C35,customers!$A$1:$A$53,customers!$B$1:$B$53,,)</f>
        <v>Victoria</v>
      </c>
      <c r="H35" t="str">
        <f>_xlfn.XLOOKUP(C35,customers!$A$1:$A$53,customers!$D$1:$D$53,,)</f>
        <v>victoria.adams@gmail.com</v>
      </c>
      <c r="I35" t="str">
        <f>INDEX(products!$A$1:$F$51, MATCH(orders!$A35,products!$A$1:$A$51,0), MATCH(orders!I$1,products!$A$1:$F$1,0))</f>
        <v>Dog Food</v>
      </c>
      <c r="J35">
        <f>INDEX(products!$A$1:$F$51, MATCH(orders!$A35,products!$A$1:$A$51,0), MATCH(orders!J$1,products!$A$1:$F$1,0))</f>
        <v>30</v>
      </c>
      <c r="K35">
        <f>INDEX(products!$A$1:$F$51, MATCH(orders!$A35,products!$A$1:$A$51,0), MATCH(orders!K$1,products!$A$1:$F$1,0))</f>
        <v>34</v>
      </c>
      <c r="L35">
        <f>INDEX(products!$A$1:$F$51, MATCH(orders!$A35,products!$A$1:$A$51,0), MATCH(orders!L$1,products!$A$1:$F$1,0))</f>
        <v>1200</v>
      </c>
      <c r="M35">
        <f>INDEX(products!$A$1:$F$51, MATCH(orders!$A35,products!$A$1:$A$51,0), MATCH(orders!M$1,products!$A$1:$F$1,0))</f>
        <v>50</v>
      </c>
      <c r="N35" s="3">
        <f t="shared" si="0"/>
        <v>3600</v>
      </c>
    </row>
    <row r="36" spans="1:14" x14ac:dyDescent="0.3">
      <c r="A36">
        <v>35</v>
      </c>
      <c r="B36">
        <v>35</v>
      </c>
      <c r="C36">
        <v>35</v>
      </c>
      <c r="D36" s="1">
        <v>46221</v>
      </c>
      <c r="E36" t="s">
        <v>5</v>
      </c>
      <c r="F36">
        <v>2</v>
      </c>
      <c r="G36" s="2" t="str">
        <f>_xlfn.XLOOKUP(C36,customers!$A$1:$A$53,customers!$B$1:$B$53,,)</f>
        <v>Andrew</v>
      </c>
      <c r="H36" t="str">
        <f>_xlfn.XLOOKUP(C36,customers!$A$1:$A$53,customers!$D$1:$D$53,,)</f>
        <v>andrew.baker@gmail.com</v>
      </c>
      <c r="I36" t="str">
        <f>INDEX(products!$A$1:$F$51, MATCH(orders!$A36,products!$A$1:$A$51,0), MATCH(orders!I$1,products!$A$1:$F$1,0))</f>
        <v>Car Battery</v>
      </c>
      <c r="J36">
        <f>INDEX(products!$A$1:$F$51, MATCH(orders!$A36,products!$A$1:$A$51,0), MATCH(orders!J$1,products!$A$1:$F$1,0))</f>
        <v>31</v>
      </c>
      <c r="K36">
        <f>INDEX(products!$A$1:$F$51, MATCH(orders!$A36,products!$A$1:$A$51,0), MATCH(orders!K$1,products!$A$1:$F$1,0))</f>
        <v>35</v>
      </c>
      <c r="L36">
        <f>INDEX(products!$A$1:$F$51, MATCH(orders!$A36,products!$A$1:$A$51,0), MATCH(orders!L$1,products!$A$1:$F$1,0))</f>
        <v>5500</v>
      </c>
      <c r="M36">
        <f>INDEX(products!$A$1:$F$51, MATCH(orders!$A36,products!$A$1:$A$51,0), MATCH(orders!M$1,products!$A$1:$F$1,0))</f>
        <v>18</v>
      </c>
      <c r="N36" s="3">
        <f t="shared" si="0"/>
        <v>11000</v>
      </c>
    </row>
    <row r="37" spans="1:14" x14ac:dyDescent="0.3">
      <c r="A37">
        <v>36</v>
      </c>
      <c r="B37">
        <v>36</v>
      </c>
      <c r="C37">
        <v>36</v>
      </c>
      <c r="D37" s="1">
        <v>46221</v>
      </c>
      <c r="E37" t="s">
        <v>8</v>
      </c>
      <c r="F37">
        <v>7</v>
      </c>
      <c r="G37" s="2" t="str">
        <f>_xlfn.XLOOKUP(C37,customers!$A$1:$A$53,customers!$B$1:$B$53,,)</f>
        <v>Lily</v>
      </c>
      <c r="H37" t="str">
        <f>_xlfn.XLOOKUP(C37,customers!$A$1:$A$53,customers!$D$1:$D$53,,)</f>
        <v>lily.nelson@gmail.com</v>
      </c>
      <c r="I37" t="str">
        <f>INDEX(products!$A$1:$F$51, MATCH(orders!$A37,products!$A$1:$A$51,0), MATCH(orders!I$1,products!$A$1:$F$1,0))</f>
        <v>Motorcycle Helmet</v>
      </c>
      <c r="J37">
        <f>INDEX(products!$A$1:$F$51, MATCH(orders!$A37,products!$A$1:$A$51,0), MATCH(orders!J$1,products!$A$1:$F$1,0))</f>
        <v>32</v>
      </c>
      <c r="K37">
        <f>INDEX(products!$A$1:$F$51, MATCH(orders!$A37,products!$A$1:$A$51,0), MATCH(orders!K$1,products!$A$1:$F$1,0))</f>
        <v>36</v>
      </c>
      <c r="L37">
        <f>INDEX(products!$A$1:$F$51, MATCH(orders!$A37,products!$A$1:$A$51,0), MATCH(orders!L$1,products!$A$1:$F$1,0))</f>
        <v>2200</v>
      </c>
      <c r="M37">
        <f>INDEX(products!$A$1:$F$51, MATCH(orders!$A37,products!$A$1:$A$51,0), MATCH(orders!M$1,products!$A$1:$F$1,0))</f>
        <v>35</v>
      </c>
      <c r="N37" s="3">
        <f t="shared" si="0"/>
        <v>15400</v>
      </c>
    </row>
    <row r="38" spans="1:14" x14ac:dyDescent="0.3">
      <c r="A38">
        <v>37</v>
      </c>
      <c r="B38">
        <v>37</v>
      </c>
      <c r="C38">
        <v>37</v>
      </c>
      <c r="D38" s="1">
        <v>46222</v>
      </c>
      <c r="E38" t="s">
        <v>7</v>
      </c>
      <c r="F38">
        <v>4</v>
      </c>
      <c r="G38" s="2" t="str">
        <f>_xlfn.XLOOKUP(C38,customers!$A$1:$A$53,customers!$B$1:$B$53,,)</f>
        <v>Christopher</v>
      </c>
      <c r="H38" t="str">
        <f>_xlfn.XLOOKUP(C38,customers!$A$1:$A$53,customers!$D$1:$D$53,,)</f>
        <v>christopher.carter@gmail.com</v>
      </c>
      <c r="I38" t="str">
        <f>INDEX(products!$A$1:$F$51, MATCH(orders!$A38,products!$A$1:$A$51,0), MATCH(orders!I$1,products!$A$1:$F$1,0))</f>
        <v>Electric Drill</v>
      </c>
      <c r="J38">
        <f>INDEX(products!$A$1:$F$51, MATCH(orders!$A38,products!$A$1:$A$51,0), MATCH(orders!J$1,products!$A$1:$F$1,0))</f>
        <v>33</v>
      </c>
      <c r="K38">
        <f>INDEX(products!$A$1:$F$51, MATCH(orders!$A38,products!$A$1:$A$51,0), MATCH(orders!K$1,products!$A$1:$F$1,0))</f>
        <v>37</v>
      </c>
      <c r="L38">
        <f>INDEX(products!$A$1:$F$51, MATCH(orders!$A38,products!$A$1:$A$51,0), MATCH(orders!L$1,products!$A$1:$F$1,0))</f>
        <v>4200</v>
      </c>
      <c r="M38">
        <f>INDEX(products!$A$1:$F$51, MATCH(orders!$A38,products!$A$1:$A$51,0), MATCH(orders!M$1,products!$A$1:$F$1,0))</f>
        <v>22</v>
      </c>
      <c r="N38" s="3">
        <f t="shared" si="0"/>
        <v>16800</v>
      </c>
    </row>
    <row r="39" spans="1:14" x14ac:dyDescent="0.3">
      <c r="A39">
        <v>38</v>
      </c>
      <c r="B39">
        <v>38</v>
      </c>
      <c r="C39">
        <v>38</v>
      </c>
      <c r="D39" s="1">
        <v>46222</v>
      </c>
      <c r="E39" t="s">
        <v>5</v>
      </c>
      <c r="F39">
        <v>1</v>
      </c>
      <c r="G39" s="2" t="str">
        <f>_xlfn.XLOOKUP(C39,customers!$A$1:$A$53,customers!$B$1:$B$53,,)</f>
        <v>Zoey</v>
      </c>
      <c r="H39" t="str">
        <f>_xlfn.XLOOKUP(C39,customers!$A$1:$A$53,customers!$D$1:$D$53,,)</f>
        <v>zoey.mitchell@gmail.com</v>
      </c>
      <c r="I39" t="str">
        <f>INDEX(products!$A$1:$F$51, MATCH(orders!$A39,products!$A$1:$A$51,0), MATCH(orders!I$1,products!$A$1:$F$1,0))</f>
        <v>Air Compressor</v>
      </c>
      <c r="J39">
        <f>INDEX(products!$A$1:$F$51, MATCH(orders!$A39,products!$A$1:$A$51,0), MATCH(orders!J$1,products!$A$1:$F$1,0))</f>
        <v>34</v>
      </c>
      <c r="K39">
        <f>INDEX(products!$A$1:$F$51, MATCH(orders!$A39,products!$A$1:$A$51,0), MATCH(orders!K$1,products!$A$1:$F$1,0))</f>
        <v>38</v>
      </c>
      <c r="L39">
        <f>INDEX(products!$A$1:$F$51, MATCH(orders!$A39,products!$A$1:$A$51,0), MATCH(orders!L$1,products!$A$1:$F$1,0))</f>
        <v>9800</v>
      </c>
      <c r="M39">
        <f>INDEX(products!$A$1:$F$51, MATCH(orders!$A39,products!$A$1:$A$51,0), MATCH(orders!M$1,products!$A$1:$F$1,0))</f>
        <v>12</v>
      </c>
      <c r="N39" s="3">
        <f t="shared" si="0"/>
        <v>9800</v>
      </c>
    </row>
    <row r="40" spans="1:14" x14ac:dyDescent="0.3">
      <c r="A40">
        <v>39</v>
      </c>
      <c r="B40">
        <v>39</v>
      </c>
      <c r="C40">
        <v>39</v>
      </c>
      <c r="D40" s="1">
        <v>46223</v>
      </c>
      <c r="E40" t="s">
        <v>4</v>
      </c>
      <c r="F40">
        <v>3</v>
      </c>
      <c r="G40" s="2" t="str">
        <f>_xlfn.XLOOKUP(C40,customers!$A$1:$A$53,customers!$B$1:$B$53,,)</f>
        <v>Joshua</v>
      </c>
      <c r="H40" t="str">
        <f>_xlfn.XLOOKUP(C40,customers!$A$1:$A$53,customers!$D$1:$D$53,,)</f>
        <v>joshua.perez@gmail.com</v>
      </c>
      <c r="I40" t="str">
        <f>INDEX(products!$A$1:$F$51, MATCH(orders!$A40,products!$A$1:$A$51,0), MATCH(orders!I$1,products!$A$1:$F$1,0))</f>
        <v>Acoustic Guitar</v>
      </c>
      <c r="J40">
        <f>INDEX(products!$A$1:$F$51, MATCH(orders!$A40,products!$A$1:$A$51,0), MATCH(orders!J$1,products!$A$1:$F$1,0))</f>
        <v>35</v>
      </c>
      <c r="K40">
        <f>INDEX(products!$A$1:$F$51, MATCH(orders!$A40,products!$A$1:$A$51,0), MATCH(orders!K$1,products!$A$1:$F$1,0))</f>
        <v>39</v>
      </c>
      <c r="L40">
        <f>INDEX(products!$A$1:$F$51, MATCH(orders!$A40,products!$A$1:$A$51,0), MATCH(orders!L$1,products!$A$1:$F$1,0))</f>
        <v>7200</v>
      </c>
      <c r="M40">
        <f>INDEX(products!$A$1:$F$51, MATCH(orders!$A40,products!$A$1:$A$51,0), MATCH(orders!M$1,products!$A$1:$F$1,0))</f>
        <v>16</v>
      </c>
      <c r="N40" s="3">
        <f t="shared" si="0"/>
        <v>21600</v>
      </c>
    </row>
    <row r="41" spans="1:14" x14ac:dyDescent="0.3">
      <c r="A41">
        <v>40</v>
      </c>
      <c r="B41">
        <v>40</v>
      </c>
      <c r="C41">
        <v>40</v>
      </c>
      <c r="D41" s="1">
        <v>46223</v>
      </c>
      <c r="E41" t="s">
        <v>5</v>
      </c>
      <c r="F41">
        <v>5</v>
      </c>
      <c r="G41" s="2" t="str">
        <f>_xlfn.XLOOKUP(C41,customers!$A$1:$A$53,customers!$B$1:$B$53,,)</f>
        <v>Natalie</v>
      </c>
      <c r="H41" t="str">
        <f>_xlfn.XLOOKUP(C41,customers!$A$1:$A$53,customers!$D$1:$D$53,,)</f>
        <v>natalie.roberts@gmail.com</v>
      </c>
      <c r="I41" t="str">
        <f>INDEX(products!$A$1:$F$51, MATCH(orders!$A41,products!$A$1:$A$51,0), MATCH(orders!I$1,products!$A$1:$F$1,0))</f>
        <v>DSLR Camera</v>
      </c>
      <c r="J41">
        <f>INDEX(products!$A$1:$F$51, MATCH(orders!$A41,products!$A$1:$A$51,0), MATCH(orders!J$1,products!$A$1:$F$1,0))</f>
        <v>36</v>
      </c>
      <c r="K41">
        <f>INDEX(products!$A$1:$F$51, MATCH(orders!$A41,products!$A$1:$A$51,0), MATCH(orders!K$1,products!$A$1:$F$1,0))</f>
        <v>40</v>
      </c>
      <c r="L41">
        <f>INDEX(products!$A$1:$F$51, MATCH(orders!$A41,products!$A$1:$A$51,0), MATCH(orders!L$1,products!$A$1:$F$1,0))</f>
        <v>45000</v>
      </c>
      <c r="M41">
        <f>INDEX(products!$A$1:$F$51, MATCH(orders!$A41,products!$A$1:$A$51,0), MATCH(orders!M$1,products!$A$1:$F$1,0))</f>
        <v>9</v>
      </c>
      <c r="N41" s="3">
        <f t="shared" si="0"/>
        <v>225000</v>
      </c>
    </row>
    <row r="42" spans="1:14" x14ac:dyDescent="0.3">
      <c r="A42">
        <v>41</v>
      </c>
      <c r="B42">
        <v>41</v>
      </c>
      <c r="C42">
        <v>41</v>
      </c>
      <c r="D42" s="1">
        <v>46224</v>
      </c>
      <c r="E42" t="s">
        <v>8</v>
      </c>
      <c r="F42">
        <v>2</v>
      </c>
      <c r="G42" s="2" t="str">
        <f>_xlfn.XLOOKUP(C42,customers!$A$1:$A$53,customers!$B$1:$B$53,,)</f>
        <v>Ryan</v>
      </c>
      <c r="H42" t="str">
        <f>_xlfn.XLOOKUP(C42,customers!$A$1:$A$53,customers!$D$1:$D$53,,)</f>
        <v>ryan.turner@gmail.com</v>
      </c>
      <c r="I42" t="str">
        <f>INDEX(products!$A$1:$F$51, MATCH(orders!$A42,products!$A$1:$A$51,0), MATCH(orders!I$1,products!$A$1:$F$1,0))</f>
        <v>Camera Tripod</v>
      </c>
      <c r="J42">
        <f>INDEX(products!$A$1:$F$51, MATCH(orders!$A42,products!$A$1:$A$51,0), MATCH(orders!J$1,products!$A$1:$F$1,0))</f>
        <v>37</v>
      </c>
      <c r="K42">
        <f>INDEX(products!$A$1:$F$51, MATCH(orders!$A42,products!$A$1:$A$51,0), MATCH(orders!K$1,products!$A$1:$F$1,0))</f>
        <v>41</v>
      </c>
      <c r="L42">
        <f>INDEX(products!$A$1:$F$51, MATCH(orders!$A42,products!$A$1:$A$51,0), MATCH(orders!L$1,products!$A$1:$F$1,0))</f>
        <v>1800</v>
      </c>
      <c r="M42">
        <f>INDEX(products!$A$1:$F$51, MATCH(orders!$A42,products!$A$1:$A$51,0), MATCH(orders!M$1,products!$A$1:$F$1,0))</f>
        <v>40</v>
      </c>
      <c r="N42" s="3">
        <f t="shared" si="0"/>
        <v>3600</v>
      </c>
    </row>
    <row r="43" spans="1:14" x14ac:dyDescent="0.3">
      <c r="A43">
        <v>42</v>
      </c>
      <c r="B43">
        <v>42</v>
      </c>
      <c r="C43">
        <v>42</v>
      </c>
      <c r="D43" s="1">
        <v>46224</v>
      </c>
      <c r="E43" t="s">
        <v>7</v>
      </c>
      <c r="F43">
        <v>6</v>
      </c>
      <c r="G43" s="2" t="str">
        <f>_xlfn.XLOOKUP(C43,customers!$A$1:$A$53,customers!$B$1:$B$53,,)</f>
        <v>Hannah</v>
      </c>
      <c r="H43" t="str">
        <f>_xlfn.XLOOKUP(C43,customers!$A$1:$A$53,customers!$D$1:$D$53,,)</f>
        <v>hannah.phillips@gmail.com</v>
      </c>
      <c r="I43" t="str">
        <f>INDEX(products!$A$1:$F$51, MATCH(orders!$A43,products!$A$1:$A$51,0), MATCH(orders!I$1,products!$A$1:$F$1,0))</f>
        <v>PlayStation 5</v>
      </c>
      <c r="J43">
        <f>INDEX(products!$A$1:$F$51, MATCH(orders!$A43,products!$A$1:$A$51,0), MATCH(orders!J$1,products!$A$1:$F$1,0))</f>
        <v>38</v>
      </c>
      <c r="K43">
        <f>INDEX(products!$A$1:$F$51, MATCH(orders!$A43,products!$A$1:$A$51,0), MATCH(orders!K$1,products!$A$1:$F$1,0))</f>
        <v>42</v>
      </c>
      <c r="L43">
        <f>INDEX(products!$A$1:$F$51, MATCH(orders!$A43,products!$A$1:$A$51,0), MATCH(orders!L$1,products!$A$1:$F$1,0))</f>
        <v>32000</v>
      </c>
      <c r="M43">
        <f>INDEX(products!$A$1:$F$51, MATCH(orders!$A43,products!$A$1:$A$51,0), MATCH(orders!M$1,products!$A$1:$F$1,0))</f>
        <v>14</v>
      </c>
      <c r="N43" s="3">
        <f t="shared" si="0"/>
        <v>192000</v>
      </c>
    </row>
    <row r="44" spans="1:14" x14ac:dyDescent="0.3">
      <c r="A44">
        <v>43</v>
      </c>
      <c r="B44">
        <v>43</v>
      </c>
      <c r="C44">
        <v>43</v>
      </c>
      <c r="D44" s="1">
        <v>46225</v>
      </c>
      <c r="E44" t="s">
        <v>5</v>
      </c>
      <c r="F44">
        <v>3</v>
      </c>
      <c r="G44" s="2" t="str">
        <f>_xlfn.XLOOKUP(C44,customers!$A$1:$A$53,customers!$B$1:$B$53,,)</f>
        <v>Nathan</v>
      </c>
      <c r="H44" t="str">
        <f>_xlfn.XLOOKUP(C44,customers!$A$1:$A$53,customers!$D$1:$D$53,,)</f>
        <v>nathan.campbell@gmail.com</v>
      </c>
      <c r="I44" t="str">
        <f>INDEX(products!$A$1:$F$51, MATCH(orders!$A44,products!$A$1:$A$51,0), MATCH(orders!I$1,products!$A$1:$F$1,0))</f>
        <v>Action Movie DVD</v>
      </c>
      <c r="J44">
        <f>INDEX(products!$A$1:$F$51, MATCH(orders!$A44,products!$A$1:$A$51,0), MATCH(orders!J$1,products!$A$1:$F$1,0))</f>
        <v>39</v>
      </c>
      <c r="K44">
        <f>INDEX(products!$A$1:$F$51, MATCH(orders!$A44,products!$A$1:$A$51,0), MATCH(orders!K$1,products!$A$1:$F$1,0))</f>
        <v>43</v>
      </c>
      <c r="L44">
        <f>INDEX(products!$A$1:$F$51, MATCH(orders!$A44,products!$A$1:$A$51,0), MATCH(orders!L$1,products!$A$1:$F$1,0))</f>
        <v>500</v>
      </c>
      <c r="M44">
        <f>INDEX(products!$A$1:$F$51, MATCH(orders!$A44,products!$A$1:$A$51,0), MATCH(orders!M$1,products!$A$1:$F$1,0))</f>
        <v>60</v>
      </c>
      <c r="N44" s="3">
        <f t="shared" si="0"/>
        <v>1500</v>
      </c>
    </row>
    <row r="45" spans="1:14" x14ac:dyDescent="0.3">
      <c r="A45">
        <v>44</v>
      </c>
      <c r="B45">
        <v>44</v>
      </c>
      <c r="C45">
        <v>44</v>
      </c>
      <c r="D45" s="1">
        <v>46225</v>
      </c>
      <c r="E45" t="s">
        <v>6</v>
      </c>
      <c r="F45">
        <v>1</v>
      </c>
      <c r="G45" s="2" t="str">
        <f>_xlfn.XLOOKUP(C45,customers!$A$1:$A$53,customers!$B$1:$B$53,,)</f>
        <v>Aria</v>
      </c>
      <c r="H45" t="str">
        <f>_xlfn.XLOOKUP(C45,customers!$A$1:$A$53,customers!$D$1:$D$53,,)</f>
        <v>aria.parker@gmail.com</v>
      </c>
      <c r="I45" t="str">
        <f>INDEX(products!$A$1:$F$51, MATCH(orders!$A45,products!$A$1:$A$51,0), MATCH(orders!I$1,products!$A$1:$F$1,0))</f>
        <v>Bluetooth Speaker</v>
      </c>
      <c r="J45">
        <f>INDEX(products!$A$1:$F$51, MATCH(orders!$A45,products!$A$1:$A$51,0), MATCH(orders!J$1,products!$A$1:$F$1,0))</f>
        <v>40</v>
      </c>
      <c r="K45">
        <f>INDEX(products!$A$1:$F$51, MATCH(orders!$A45,products!$A$1:$A$51,0), MATCH(orders!K$1,products!$A$1:$F$1,0))</f>
        <v>44</v>
      </c>
      <c r="L45">
        <f>INDEX(products!$A$1:$F$51, MATCH(orders!$A45,products!$A$1:$A$51,0), MATCH(orders!L$1,products!$A$1:$F$1,0))</f>
        <v>2800</v>
      </c>
      <c r="M45">
        <f>INDEX(products!$A$1:$F$51, MATCH(orders!$A45,products!$A$1:$A$51,0), MATCH(orders!M$1,products!$A$1:$F$1,0))</f>
        <v>48</v>
      </c>
      <c r="N45" s="3">
        <f t="shared" si="0"/>
        <v>2800</v>
      </c>
    </row>
    <row r="46" spans="1:14" x14ac:dyDescent="0.3">
      <c r="A46">
        <v>45</v>
      </c>
      <c r="B46">
        <v>45</v>
      </c>
      <c r="C46">
        <v>45</v>
      </c>
      <c r="D46" s="1">
        <v>46226</v>
      </c>
      <c r="E46" t="s">
        <v>4</v>
      </c>
      <c r="F46">
        <v>4</v>
      </c>
      <c r="G46" s="2" t="str">
        <f>_xlfn.XLOOKUP(C46,customers!$A$1:$A$53,customers!$B$1:$B$53,,)</f>
        <v>Aaron</v>
      </c>
      <c r="H46" t="str">
        <f>_xlfn.XLOOKUP(C46,customers!$A$1:$A$53,customers!$D$1:$D$53,,)</f>
        <v>aaron.evans@gmail.com</v>
      </c>
      <c r="I46" t="str">
        <f>INDEX(products!$A$1:$F$51, MATCH(orders!$A46,products!$A$1:$A$51,0), MATCH(orders!I$1,products!$A$1:$F$1,0))</f>
        <v>Chocolate Bar</v>
      </c>
      <c r="J46">
        <f>INDEX(products!$A$1:$F$51, MATCH(orders!$A46,products!$A$1:$A$51,0), MATCH(orders!J$1,products!$A$1:$F$1,0))</f>
        <v>41</v>
      </c>
      <c r="K46">
        <f>INDEX(products!$A$1:$F$51, MATCH(orders!$A46,products!$A$1:$A$51,0), MATCH(orders!K$1,products!$A$1:$F$1,0))</f>
        <v>45</v>
      </c>
      <c r="L46">
        <f>INDEX(products!$A$1:$F$51, MATCH(orders!$A46,products!$A$1:$A$51,0), MATCH(orders!L$1,products!$A$1:$F$1,0))</f>
        <v>120</v>
      </c>
      <c r="M46">
        <f>INDEX(products!$A$1:$F$51, MATCH(orders!$A46,products!$A$1:$A$51,0), MATCH(orders!M$1,products!$A$1:$F$1,0))</f>
        <v>500</v>
      </c>
      <c r="N46" s="3">
        <f t="shared" si="0"/>
        <v>480</v>
      </c>
    </row>
    <row r="47" spans="1:14" x14ac:dyDescent="0.3">
      <c r="A47">
        <v>46</v>
      </c>
      <c r="B47">
        <v>46</v>
      </c>
      <c r="C47">
        <v>46</v>
      </c>
      <c r="D47" s="1">
        <v>46226</v>
      </c>
      <c r="E47" t="s">
        <v>5</v>
      </c>
      <c r="F47">
        <v>2</v>
      </c>
      <c r="G47" s="2" t="str">
        <f>_xlfn.XLOOKUP(C47,customers!$A$1:$A$53,customers!$B$1:$B$53,,)</f>
        <v>Scarlett</v>
      </c>
      <c r="H47" t="str">
        <f>_xlfn.XLOOKUP(C47,customers!$A$1:$A$53,customers!$D$1:$D$53,,)</f>
        <v>scarlett.edwards@gmail.com</v>
      </c>
      <c r="I47" t="str">
        <f>INDEX(products!$A$1:$F$51, MATCH(orders!$A47,products!$A$1:$A$51,0), MATCH(orders!I$1,products!$A$1:$F$1,0))</f>
        <v>Orange Juice</v>
      </c>
      <c r="J47">
        <f>INDEX(products!$A$1:$F$51, MATCH(orders!$A47,products!$A$1:$A$51,0), MATCH(orders!J$1,products!$A$1:$F$1,0))</f>
        <v>42</v>
      </c>
      <c r="K47">
        <f>INDEX(products!$A$1:$F$51, MATCH(orders!$A47,products!$A$1:$A$51,0), MATCH(orders!K$1,products!$A$1:$F$1,0))</f>
        <v>46</v>
      </c>
      <c r="L47">
        <f>INDEX(products!$A$1:$F$51, MATCH(orders!$A47,products!$A$1:$A$51,0), MATCH(orders!L$1,products!$A$1:$F$1,0))</f>
        <v>180</v>
      </c>
      <c r="M47">
        <f>INDEX(products!$A$1:$F$51, MATCH(orders!$A47,products!$A$1:$A$51,0), MATCH(orders!M$1,products!$A$1:$F$1,0))</f>
        <v>150</v>
      </c>
      <c r="N47" s="3">
        <f t="shared" si="0"/>
        <v>360</v>
      </c>
    </row>
    <row r="48" spans="1:14" x14ac:dyDescent="0.3">
      <c r="A48">
        <v>47</v>
      </c>
      <c r="B48">
        <v>47</v>
      </c>
      <c r="C48">
        <v>47</v>
      </c>
      <c r="D48" s="1">
        <v>46227</v>
      </c>
      <c r="E48" t="s">
        <v>8</v>
      </c>
      <c r="F48">
        <v>5</v>
      </c>
      <c r="G48" s="2" t="str">
        <f>_xlfn.XLOOKUP(C48,customers!$A$1:$A$53,customers!$B$1:$B$53,,)</f>
        <v>Christian</v>
      </c>
      <c r="H48" t="str">
        <f>_xlfn.XLOOKUP(C48,customers!$A$1:$A$53,customers!$D$1:$D$53,,)</f>
        <v>christian.collins@gmail.com</v>
      </c>
      <c r="I48" t="str">
        <f>INDEX(products!$A$1:$F$51, MATCH(orders!$A48,products!$A$1:$A$51,0), MATCH(orders!I$1,products!$A$1:$F$1,0))</f>
        <v>Frozen Pizza</v>
      </c>
      <c r="J48">
        <f>INDEX(products!$A$1:$F$51, MATCH(orders!$A48,products!$A$1:$A$51,0), MATCH(orders!J$1,products!$A$1:$F$1,0))</f>
        <v>43</v>
      </c>
      <c r="K48">
        <f>INDEX(products!$A$1:$F$51, MATCH(orders!$A48,products!$A$1:$A$51,0), MATCH(orders!K$1,products!$A$1:$F$1,0))</f>
        <v>47</v>
      </c>
      <c r="L48">
        <f>INDEX(products!$A$1:$F$51, MATCH(orders!$A48,products!$A$1:$A$51,0), MATCH(orders!L$1,products!$A$1:$F$1,0))</f>
        <v>350</v>
      </c>
      <c r="M48">
        <f>INDEX(products!$A$1:$F$51, MATCH(orders!$A48,products!$A$1:$A$51,0), MATCH(orders!M$1,products!$A$1:$F$1,0))</f>
        <v>75</v>
      </c>
      <c r="N48" s="3">
        <f t="shared" si="0"/>
        <v>1750</v>
      </c>
    </row>
    <row r="49" spans="1:14" x14ac:dyDescent="0.3">
      <c r="A49">
        <v>48</v>
      </c>
      <c r="B49">
        <v>48</v>
      </c>
      <c r="C49">
        <v>48</v>
      </c>
      <c r="D49" s="1">
        <v>46227</v>
      </c>
      <c r="E49" t="s">
        <v>7</v>
      </c>
      <c r="F49">
        <v>3</v>
      </c>
      <c r="G49" s="2" t="str">
        <f>_xlfn.XLOOKUP(C49,customers!$A$1:$A$53,customers!$B$1:$B$53,,)</f>
        <v>Leah</v>
      </c>
      <c r="H49" t="str">
        <f>_xlfn.XLOOKUP(C49,customers!$A$1:$A$53,customers!$D$1:$D$53,,)</f>
        <v>leah.stewart@gmail.com</v>
      </c>
      <c r="I49" t="str">
        <f>INDEX(products!$A$1:$F$51, MATCH(orders!$A49,products!$A$1:$A$51,0), MATCH(orders!I$1,products!$A$1:$F$1,0))</f>
        <v>Potato Chips</v>
      </c>
      <c r="J49">
        <f>INDEX(products!$A$1:$F$51, MATCH(orders!$A49,products!$A$1:$A$51,0), MATCH(orders!J$1,products!$A$1:$F$1,0))</f>
        <v>44</v>
      </c>
      <c r="K49">
        <f>INDEX(products!$A$1:$F$51, MATCH(orders!$A49,products!$A$1:$A$51,0), MATCH(orders!K$1,products!$A$1:$F$1,0))</f>
        <v>48</v>
      </c>
      <c r="L49">
        <f>INDEX(products!$A$1:$F$51, MATCH(orders!$A49,products!$A$1:$A$51,0), MATCH(orders!L$1,products!$A$1:$F$1,0))</f>
        <v>75</v>
      </c>
      <c r="M49">
        <f>INDEX(products!$A$1:$F$51, MATCH(orders!$A49,products!$A$1:$A$51,0), MATCH(orders!M$1,products!$A$1:$F$1,0))</f>
        <v>250</v>
      </c>
      <c r="N49" s="3">
        <f t="shared" si="0"/>
        <v>225</v>
      </c>
    </row>
    <row r="50" spans="1:14" x14ac:dyDescent="0.3">
      <c r="A50">
        <v>49</v>
      </c>
      <c r="B50">
        <v>49</v>
      </c>
      <c r="C50">
        <v>49</v>
      </c>
      <c r="D50" s="1">
        <v>46228</v>
      </c>
      <c r="E50" t="s">
        <v>5</v>
      </c>
      <c r="F50">
        <v>6</v>
      </c>
      <c r="G50" s="2" t="str">
        <f>_xlfn.XLOOKUP(C50,customers!$A$1:$A$53,customers!$B$1:$B$53,,)</f>
        <v>Dylan</v>
      </c>
      <c r="H50" t="str">
        <f>_xlfn.XLOOKUP(C50,customers!$A$1:$A$53,customers!$D$1:$D$53,,)</f>
        <v>dylan.sanchez@gmail.com</v>
      </c>
      <c r="I50" t="str">
        <f>INDEX(products!$A$1:$F$51, MATCH(orders!$A50,products!$A$1:$A$51,0), MATCH(orders!I$1,products!$A$1:$F$1,0))</f>
        <v>Laundry Detergent</v>
      </c>
      <c r="J50">
        <f>INDEX(products!$A$1:$F$51, MATCH(orders!$A50,products!$A$1:$A$51,0), MATCH(orders!J$1,products!$A$1:$F$1,0))</f>
        <v>45</v>
      </c>
      <c r="K50">
        <f>INDEX(products!$A$1:$F$51, MATCH(orders!$A50,products!$A$1:$A$51,0), MATCH(orders!K$1,products!$A$1:$F$1,0))</f>
        <v>49</v>
      </c>
      <c r="L50">
        <f>INDEX(products!$A$1:$F$51, MATCH(orders!$A50,products!$A$1:$A$51,0), MATCH(orders!L$1,products!$A$1:$F$1,0))</f>
        <v>450</v>
      </c>
      <c r="M50">
        <f>INDEX(products!$A$1:$F$51, MATCH(orders!$A50,products!$A$1:$A$51,0), MATCH(orders!M$1,products!$A$1:$F$1,0))</f>
        <v>100</v>
      </c>
      <c r="N50" s="3">
        <f t="shared" si="0"/>
        <v>2700</v>
      </c>
    </row>
    <row r="51" spans="1:14" x14ac:dyDescent="0.3">
      <c r="A51">
        <v>50</v>
      </c>
      <c r="B51">
        <v>50</v>
      </c>
      <c r="C51">
        <v>50</v>
      </c>
      <c r="D51" s="1">
        <v>46228</v>
      </c>
      <c r="E51" t="s">
        <v>4</v>
      </c>
      <c r="F51">
        <v>2</v>
      </c>
      <c r="G51" s="2" t="str">
        <f>_xlfn.XLOOKUP(C51,customers!$A$1:$A$53,customers!$B$1:$B$53,,)</f>
        <v>Stella</v>
      </c>
      <c r="H51" t="str">
        <f>_xlfn.XLOOKUP(C51,customers!$A$1:$A$53,customers!$D$1:$D$53,,)</f>
        <v>stella.morris@gmail.com</v>
      </c>
      <c r="I51" t="str">
        <f>INDEX(products!$A$1:$F$51, MATCH(orders!$A51,products!$A$1:$A$51,0), MATCH(orders!I$1,products!$A$1:$F$1,0))</f>
        <v>Camping Tent</v>
      </c>
      <c r="J51">
        <f>INDEX(products!$A$1:$F$51, MATCH(orders!$A51,products!$A$1:$A$51,0), MATCH(orders!J$1,products!$A$1:$F$1,0))</f>
        <v>47</v>
      </c>
      <c r="K51">
        <f>INDEX(products!$A$1:$F$51, MATCH(orders!$A51,products!$A$1:$A$51,0), MATCH(orders!K$1,products!$A$1:$F$1,0))</f>
        <v>50</v>
      </c>
      <c r="L51">
        <f>INDEX(products!$A$1:$F$51, MATCH(orders!$A51,products!$A$1:$A$51,0), MATCH(orders!L$1,products!$A$1:$F$1,0))</f>
        <v>6500</v>
      </c>
      <c r="M51">
        <f>INDEX(products!$A$1:$F$51, MATCH(orders!$A51,products!$A$1:$A$51,0), MATCH(orders!M$1,products!$A$1:$F$1,0))</f>
        <v>20</v>
      </c>
      <c r="N51" s="3">
        <f t="shared" si="0"/>
        <v>13000</v>
      </c>
    </row>
    <row r="52" spans="1:14" x14ac:dyDescent="0.3">
      <c r="A52">
        <v>51</v>
      </c>
      <c r="B52">
        <v>51</v>
      </c>
      <c r="C52">
        <v>51</v>
      </c>
      <c r="D52" s="1">
        <v>46204</v>
      </c>
      <c r="E52" t="s">
        <v>5</v>
      </c>
      <c r="F52">
        <v>4</v>
      </c>
      <c r="G52" s="2" t="str">
        <f>_xlfn.XLOOKUP(C52,customers!$A$1:$A$53,customers!$B$1:$B$53,,)</f>
        <v>Johnearly</v>
      </c>
      <c r="H52" t="str">
        <f>_xlfn.XLOOKUP(C52,customers!$A$1:$A$53,customers!$D$1:$D$53,,)</f>
        <v>johnearly.dogiegmail.com</v>
      </c>
      <c r="I52" t="e">
        <f>INDEX(products!$A$1:$F$51, MATCH(orders!$A52,products!$A$1:$A$51,0), MATCH(orders!I$1,products!$A$1:$F$1,0))</f>
        <v>#N/A</v>
      </c>
      <c r="J52" t="e">
        <f>INDEX(products!$A$1:$F$51, MATCH(orders!$A52,products!$A$1:$A$51,0), MATCH(orders!J$1,products!$A$1:$F$1,0))</f>
        <v>#N/A</v>
      </c>
      <c r="K52" t="e">
        <f>INDEX(products!$A$1:$F$51, MATCH(orders!$A52,products!$A$1:$A$51,0), MATCH(orders!K$1,products!$A$1:$F$1,0))</f>
        <v>#N/A</v>
      </c>
      <c r="L52" t="e">
        <f>INDEX(products!$A$1:$F$51, MATCH(orders!$A52,products!$A$1:$A$51,0), MATCH(orders!L$1,products!$A$1:$F$1,0))</f>
        <v>#N/A</v>
      </c>
      <c r="M52" t="e">
        <f>INDEX(products!$A$1:$F$51, MATCH(orders!$A52,products!$A$1:$A$51,0), MATCH(orders!M$1,products!$A$1:$F$1,0))</f>
        <v>#N/A</v>
      </c>
      <c r="N52" s="3" t="e">
        <f t="shared" si="0"/>
        <v>#N/A</v>
      </c>
    </row>
    <row r="53" spans="1:14" x14ac:dyDescent="0.3">
      <c r="A53">
        <v>52</v>
      </c>
      <c r="B53">
        <v>52</v>
      </c>
      <c r="C53">
        <v>52</v>
      </c>
      <c r="D53" s="1">
        <v>45887</v>
      </c>
      <c r="E53" t="s">
        <v>5</v>
      </c>
      <c r="F53">
        <v>1</v>
      </c>
      <c r="G53" s="2" t="str">
        <f>_xlfn.XLOOKUP(C53,customers!$A$1:$A$53,customers!$B$1:$B$53,,)</f>
        <v>Jhonathan</v>
      </c>
      <c r="H53" t="str">
        <f>_xlfn.XLOOKUP(C53,customers!$A$1:$A$53,customers!$D$1:$D$53,,)</f>
        <v>something</v>
      </c>
      <c r="I53" t="e">
        <f>INDEX(products!$A$1:$F$51, MATCH(orders!$A53,products!$A$1:$A$51,0), MATCH(orders!I$1,products!$A$1:$F$1,0))</f>
        <v>#N/A</v>
      </c>
      <c r="J53" t="e">
        <f>INDEX(products!$A$1:$F$51, MATCH(orders!$A53,products!$A$1:$A$51,0), MATCH(orders!J$1,products!$A$1:$F$1,0))</f>
        <v>#N/A</v>
      </c>
      <c r="K53" t="e">
        <f>INDEX(products!$A$1:$F$51, MATCH(orders!$A53,products!$A$1:$A$51,0), MATCH(orders!K$1,products!$A$1:$F$1,0))</f>
        <v>#N/A</v>
      </c>
      <c r="L53" t="e">
        <f>INDEX(products!$A$1:$F$51, MATCH(orders!$A53,products!$A$1:$A$51,0), MATCH(orders!L$1,products!$A$1:$F$1,0))</f>
        <v>#N/A</v>
      </c>
      <c r="M53" t="e">
        <f>INDEX(products!$A$1:$F$51, MATCH(orders!$A53,products!$A$1:$A$51,0), MATCH(orders!M$1,products!$A$1:$F$1,0))</f>
        <v>#N/A</v>
      </c>
      <c r="N53" s="3" t="e">
        <f t="shared" si="0"/>
        <v>#N/A</v>
      </c>
    </row>
  </sheetData>
  <sortState xmlns:xlrd2="http://schemas.microsoft.com/office/spreadsheetml/2017/richdata2" ref="B2:G53">
    <sortCondition ref="C2"/>
  </sortState>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3"/>
  <sheetViews>
    <sheetView workbookViewId="0">
      <selection activeCell="C29" sqref="C29"/>
    </sheetView>
  </sheetViews>
  <sheetFormatPr defaultRowHeight="14.4" x14ac:dyDescent="0.3"/>
  <cols>
    <col min="1" max="1" width="14.44140625" customWidth="1"/>
    <col min="2" max="2" width="15.5546875" customWidth="1"/>
    <col min="3" max="3" width="11.6640625" customWidth="1"/>
    <col min="4" max="4" width="27.88671875" bestFit="1" customWidth="1"/>
    <col min="5" max="5" width="18" customWidth="1"/>
    <col min="6" max="6" width="22.77734375" customWidth="1"/>
  </cols>
  <sheetData>
    <row r="1" spans="1:7" x14ac:dyDescent="0.3">
      <c r="A1" t="s">
        <v>1</v>
      </c>
      <c r="B1" t="s">
        <v>9</v>
      </c>
      <c r="C1" t="s">
        <v>10</v>
      </c>
      <c r="D1" t="s">
        <v>11</v>
      </c>
      <c r="E1" t="s">
        <v>12</v>
      </c>
      <c r="F1" t="s">
        <v>13</v>
      </c>
      <c r="G1" t="s">
        <v>14</v>
      </c>
    </row>
    <row r="2" spans="1:7" x14ac:dyDescent="0.3">
      <c r="A2">
        <v>1</v>
      </c>
      <c r="B2" t="s">
        <v>15</v>
      </c>
      <c r="C2" t="s">
        <v>16</v>
      </c>
      <c r="D2" t="s">
        <v>17</v>
      </c>
      <c r="E2">
        <v>9170000001</v>
      </c>
      <c r="F2" t="s">
        <v>18</v>
      </c>
      <c r="G2" t="e">
        <f ca="1">_xludf.xlookup(customers!C4)</f>
        <v>#NAME?</v>
      </c>
    </row>
    <row r="3" spans="1:7" x14ac:dyDescent="0.3">
      <c r="A3">
        <v>2</v>
      </c>
      <c r="B3" t="s">
        <v>19</v>
      </c>
      <c r="C3" t="s">
        <v>20</v>
      </c>
      <c r="D3" t="s">
        <v>21</v>
      </c>
      <c r="E3">
        <v>9170000002</v>
      </c>
      <c r="F3" t="s">
        <v>22</v>
      </c>
    </row>
    <row r="4" spans="1:7" x14ac:dyDescent="0.3">
      <c r="A4">
        <v>3</v>
      </c>
      <c r="B4" t="s">
        <v>23</v>
      </c>
      <c r="C4" t="s">
        <v>24</v>
      </c>
      <c r="D4" t="s">
        <v>25</v>
      </c>
      <c r="E4">
        <v>9170000003</v>
      </c>
      <c r="F4" t="s">
        <v>26</v>
      </c>
    </row>
    <row r="5" spans="1:7" x14ac:dyDescent="0.3">
      <c r="A5">
        <v>4</v>
      </c>
      <c r="B5" t="s">
        <v>27</v>
      </c>
      <c r="C5" t="s">
        <v>28</v>
      </c>
      <c r="D5" t="s">
        <v>29</v>
      </c>
      <c r="E5">
        <v>9170000004</v>
      </c>
      <c r="F5" t="s">
        <v>30</v>
      </c>
    </row>
    <row r="6" spans="1:7" x14ac:dyDescent="0.3">
      <c r="A6">
        <v>5</v>
      </c>
      <c r="B6" t="s">
        <v>31</v>
      </c>
      <c r="C6" t="s">
        <v>32</v>
      </c>
      <c r="D6" t="s">
        <v>33</v>
      </c>
      <c r="E6">
        <v>9170000005</v>
      </c>
      <c r="F6" t="s">
        <v>34</v>
      </c>
    </row>
    <row r="7" spans="1:7" x14ac:dyDescent="0.3">
      <c r="A7">
        <v>6</v>
      </c>
      <c r="B7" t="s">
        <v>35</v>
      </c>
      <c r="C7" t="s">
        <v>36</v>
      </c>
      <c r="D7" t="s">
        <v>37</v>
      </c>
      <c r="E7">
        <v>9170000006</v>
      </c>
      <c r="F7" t="s">
        <v>38</v>
      </c>
    </row>
    <row r="8" spans="1:7" x14ac:dyDescent="0.3">
      <c r="A8">
        <v>7</v>
      </c>
      <c r="B8" t="s">
        <v>39</v>
      </c>
      <c r="C8" t="s">
        <v>40</v>
      </c>
      <c r="D8" t="s">
        <v>41</v>
      </c>
      <c r="E8">
        <v>9170000007</v>
      </c>
      <c r="F8" t="s">
        <v>42</v>
      </c>
    </row>
    <row r="9" spans="1:7" x14ac:dyDescent="0.3">
      <c r="A9">
        <v>8</v>
      </c>
      <c r="B9" t="s">
        <v>43</v>
      </c>
      <c r="C9" t="s">
        <v>44</v>
      </c>
      <c r="D9" t="s">
        <v>45</v>
      </c>
      <c r="E9">
        <v>9170000008</v>
      </c>
      <c r="F9" t="s">
        <v>46</v>
      </c>
    </row>
    <row r="10" spans="1:7" x14ac:dyDescent="0.3">
      <c r="A10">
        <v>9</v>
      </c>
      <c r="B10" t="s">
        <v>47</v>
      </c>
      <c r="C10" t="s">
        <v>48</v>
      </c>
      <c r="D10" t="s">
        <v>49</v>
      </c>
      <c r="E10">
        <v>9170000009</v>
      </c>
      <c r="F10" t="s">
        <v>50</v>
      </c>
    </row>
    <row r="11" spans="1:7" x14ac:dyDescent="0.3">
      <c r="A11">
        <v>10</v>
      </c>
      <c r="B11" t="s">
        <v>51</v>
      </c>
      <c r="C11" t="s">
        <v>52</v>
      </c>
      <c r="D11" t="s">
        <v>53</v>
      </c>
      <c r="E11">
        <v>9170000010</v>
      </c>
      <c r="F11" t="s">
        <v>54</v>
      </c>
    </row>
    <row r="12" spans="1:7" x14ac:dyDescent="0.3">
      <c r="A12">
        <v>11</v>
      </c>
      <c r="B12" t="s">
        <v>55</v>
      </c>
      <c r="C12" t="s">
        <v>56</v>
      </c>
      <c r="D12" t="s">
        <v>57</v>
      </c>
      <c r="E12">
        <v>9170000011</v>
      </c>
      <c r="F12" t="s">
        <v>58</v>
      </c>
    </row>
    <row r="13" spans="1:7" x14ac:dyDescent="0.3">
      <c r="A13">
        <v>12</v>
      </c>
      <c r="B13" t="s">
        <v>59</v>
      </c>
      <c r="C13" t="s">
        <v>60</v>
      </c>
      <c r="D13" t="s">
        <v>61</v>
      </c>
      <c r="E13">
        <v>9170000012</v>
      </c>
      <c r="F13" t="s">
        <v>62</v>
      </c>
    </row>
    <row r="14" spans="1:7" x14ac:dyDescent="0.3">
      <c r="A14">
        <v>13</v>
      </c>
      <c r="B14" t="s">
        <v>63</v>
      </c>
      <c r="C14" t="s">
        <v>64</v>
      </c>
      <c r="D14" t="s">
        <v>65</v>
      </c>
      <c r="E14">
        <v>9170000013</v>
      </c>
      <c r="F14" t="s">
        <v>66</v>
      </c>
    </row>
    <row r="15" spans="1:7" x14ac:dyDescent="0.3">
      <c r="A15">
        <v>14</v>
      </c>
      <c r="B15" t="s">
        <v>67</v>
      </c>
      <c r="C15" t="s">
        <v>68</v>
      </c>
      <c r="D15" t="s">
        <v>69</v>
      </c>
      <c r="E15">
        <v>9170000014</v>
      </c>
      <c r="F15" t="s">
        <v>70</v>
      </c>
    </row>
    <row r="16" spans="1:7" x14ac:dyDescent="0.3">
      <c r="A16">
        <v>15</v>
      </c>
      <c r="B16" t="s">
        <v>71</v>
      </c>
      <c r="C16" t="s">
        <v>72</v>
      </c>
      <c r="D16" t="s">
        <v>73</v>
      </c>
      <c r="E16">
        <v>9170000015</v>
      </c>
      <c r="F16" t="s">
        <v>74</v>
      </c>
    </row>
    <row r="17" spans="1:6" x14ac:dyDescent="0.3">
      <c r="A17">
        <v>16</v>
      </c>
      <c r="B17" t="s">
        <v>75</v>
      </c>
      <c r="C17" t="s">
        <v>76</v>
      </c>
      <c r="D17" t="s">
        <v>77</v>
      </c>
      <c r="E17">
        <v>9170000016</v>
      </c>
      <c r="F17" t="s">
        <v>78</v>
      </c>
    </row>
    <row r="18" spans="1:6" x14ac:dyDescent="0.3">
      <c r="A18">
        <v>17</v>
      </c>
      <c r="B18" t="s">
        <v>79</v>
      </c>
      <c r="C18" t="s">
        <v>80</v>
      </c>
      <c r="D18" t="s">
        <v>81</v>
      </c>
      <c r="E18">
        <v>9170000017</v>
      </c>
      <c r="F18" t="s">
        <v>82</v>
      </c>
    </row>
    <row r="19" spans="1:6" x14ac:dyDescent="0.3">
      <c r="A19">
        <v>18</v>
      </c>
      <c r="B19" t="s">
        <v>83</v>
      </c>
      <c r="C19" t="s">
        <v>84</v>
      </c>
      <c r="D19" t="s">
        <v>85</v>
      </c>
      <c r="E19">
        <v>9170000018</v>
      </c>
      <c r="F19" t="s">
        <v>86</v>
      </c>
    </row>
    <row r="20" spans="1:6" x14ac:dyDescent="0.3">
      <c r="A20">
        <v>19</v>
      </c>
      <c r="B20" t="s">
        <v>87</v>
      </c>
      <c r="C20" t="s">
        <v>88</v>
      </c>
      <c r="D20" t="s">
        <v>89</v>
      </c>
      <c r="E20">
        <v>9170000019</v>
      </c>
      <c r="F20" t="s">
        <v>90</v>
      </c>
    </row>
    <row r="21" spans="1:6" x14ac:dyDescent="0.3">
      <c r="A21">
        <v>20</v>
      </c>
      <c r="B21" t="s">
        <v>91</v>
      </c>
      <c r="C21" t="s">
        <v>92</v>
      </c>
      <c r="D21" t="s">
        <v>93</v>
      </c>
      <c r="E21">
        <v>9170000020</v>
      </c>
      <c r="F21" t="s">
        <v>94</v>
      </c>
    </row>
    <row r="22" spans="1:6" x14ac:dyDescent="0.3">
      <c r="A22">
        <v>21</v>
      </c>
      <c r="B22" t="s">
        <v>95</v>
      </c>
      <c r="C22" t="s">
        <v>96</v>
      </c>
      <c r="D22" t="s">
        <v>97</v>
      </c>
      <c r="E22">
        <v>9170000021</v>
      </c>
      <c r="F22" t="s">
        <v>98</v>
      </c>
    </row>
    <row r="23" spans="1:6" x14ac:dyDescent="0.3">
      <c r="A23">
        <v>22</v>
      </c>
      <c r="B23" t="s">
        <v>99</v>
      </c>
      <c r="C23" t="s">
        <v>100</v>
      </c>
      <c r="D23" t="s">
        <v>101</v>
      </c>
      <c r="E23">
        <v>9170000022</v>
      </c>
      <c r="F23" t="s">
        <v>102</v>
      </c>
    </row>
    <row r="24" spans="1:6" x14ac:dyDescent="0.3">
      <c r="A24">
        <v>23</v>
      </c>
      <c r="B24" t="s">
        <v>103</v>
      </c>
      <c r="C24" t="s">
        <v>104</v>
      </c>
      <c r="D24" t="s">
        <v>105</v>
      </c>
      <c r="E24">
        <v>9170000023</v>
      </c>
      <c r="F24" t="s">
        <v>106</v>
      </c>
    </row>
    <row r="25" spans="1:6" x14ac:dyDescent="0.3">
      <c r="A25">
        <v>24</v>
      </c>
      <c r="B25" t="s">
        <v>107</v>
      </c>
      <c r="C25" t="s">
        <v>108</v>
      </c>
      <c r="D25" t="s">
        <v>109</v>
      </c>
      <c r="E25">
        <v>9170000024</v>
      </c>
      <c r="F25" t="s">
        <v>110</v>
      </c>
    </row>
    <row r="26" spans="1:6" x14ac:dyDescent="0.3">
      <c r="A26">
        <v>25</v>
      </c>
      <c r="B26" t="s">
        <v>111</v>
      </c>
      <c r="C26" t="s">
        <v>112</v>
      </c>
      <c r="D26" t="s">
        <v>113</v>
      </c>
      <c r="E26">
        <v>9170000025</v>
      </c>
      <c r="F26" t="s">
        <v>114</v>
      </c>
    </row>
    <row r="27" spans="1:6" x14ac:dyDescent="0.3">
      <c r="A27">
        <v>26</v>
      </c>
      <c r="B27" t="s">
        <v>115</v>
      </c>
      <c r="C27" t="s">
        <v>116</v>
      </c>
      <c r="D27" t="s">
        <v>117</v>
      </c>
      <c r="E27">
        <v>9170000026</v>
      </c>
      <c r="F27" t="s">
        <v>118</v>
      </c>
    </row>
    <row r="28" spans="1:6" x14ac:dyDescent="0.3">
      <c r="A28">
        <v>27</v>
      </c>
      <c r="B28" t="s">
        <v>119</v>
      </c>
      <c r="C28" t="s">
        <v>120</v>
      </c>
      <c r="D28" t="s">
        <v>121</v>
      </c>
      <c r="E28">
        <v>9170000027</v>
      </c>
      <c r="F28" t="s">
        <v>122</v>
      </c>
    </row>
    <row r="29" spans="1:6" x14ac:dyDescent="0.3">
      <c r="A29">
        <v>28</v>
      </c>
      <c r="B29" t="s">
        <v>123</v>
      </c>
      <c r="C29" t="s">
        <v>124</v>
      </c>
      <c r="D29" t="s">
        <v>125</v>
      </c>
      <c r="E29">
        <v>9170000028</v>
      </c>
      <c r="F29" t="s">
        <v>126</v>
      </c>
    </row>
    <row r="30" spans="1:6" x14ac:dyDescent="0.3">
      <c r="A30">
        <v>29</v>
      </c>
      <c r="B30" t="s">
        <v>127</v>
      </c>
      <c r="C30" t="s">
        <v>128</v>
      </c>
      <c r="D30" t="s">
        <v>129</v>
      </c>
      <c r="E30">
        <v>9170000029</v>
      </c>
      <c r="F30" t="s">
        <v>130</v>
      </c>
    </row>
    <row r="31" spans="1:6" x14ac:dyDescent="0.3">
      <c r="A31">
        <v>30</v>
      </c>
      <c r="B31" t="s">
        <v>131</v>
      </c>
      <c r="C31" t="s">
        <v>132</v>
      </c>
      <c r="D31" t="s">
        <v>133</v>
      </c>
      <c r="E31">
        <v>9170000030</v>
      </c>
      <c r="F31" t="s">
        <v>134</v>
      </c>
    </row>
    <row r="32" spans="1:6" x14ac:dyDescent="0.3">
      <c r="A32">
        <v>31</v>
      </c>
      <c r="B32" t="s">
        <v>135</v>
      </c>
      <c r="C32" t="s">
        <v>136</v>
      </c>
      <c r="D32" t="s">
        <v>137</v>
      </c>
      <c r="E32">
        <v>9170000031</v>
      </c>
      <c r="F32" t="s">
        <v>138</v>
      </c>
    </row>
    <row r="33" spans="1:6" x14ac:dyDescent="0.3">
      <c r="A33">
        <v>32</v>
      </c>
      <c r="B33" t="s">
        <v>139</v>
      </c>
      <c r="C33" t="s">
        <v>140</v>
      </c>
      <c r="D33" t="s">
        <v>141</v>
      </c>
      <c r="E33">
        <v>9170000032</v>
      </c>
      <c r="F33" t="s">
        <v>142</v>
      </c>
    </row>
    <row r="34" spans="1:6" x14ac:dyDescent="0.3">
      <c r="A34">
        <v>33</v>
      </c>
      <c r="B34" t="s">
        <v>143</v>
      </c>
      <c r="C34" t="s">
        <v>144</v>
      </c>
      <c r="D34" t="s">
        <v>145</v>
      </c>
      <c r="E34">
        <v>9170000033</v>
      </c>
      <c r="F34" t="s">
        <v>146</v>
      </c>
    </row>
    <row r="35" spans="1:6" x14ac:dyDescent="0.3">
      <c r="A35">
        <v>34</v>
      </c>
      <c r="B35" t="s">
        <v>147</v>
      </c>
      <c r="C35" t="s">
        <v>148</v>
      </c>
      <c r="D35" t="s">
        <v>149</v>
      </c>
      <c r="E35">
        <v>9170000034</v>
      </c>
      <c r="F35" t="s">
        <v>150</v>
      </c>
    </row>
    <row r="36" spans="1:6" x14ac:dyDescent="0.3">
      <c r="A36">
        <v>35</v>
      </c>
      <c r="B36" t="s">
        <v>151</v>
      </c>
      <c r="C36" t="s">
        <v>152</v>
      </c>
      <c r="D36" t="s">
        <v>153</v>
      </c>
      <c r="E36">
        <v>9170000035</v>
      </c>
      <c r="F36" t="s">
        <v>154</v>
      </c>
    </row>
    <row r="37" spans="1:6" x14ac:dyDescent="0.3">
      <c r="A37">
        <v>36</v>
      </c>
      <c r="B37" t="s">
        <v>155</v>
      </c>
      <c r="C37" t="s">
        <v>156</v>
      </c>
      <c r="D37" t="s">
        <v>157</v>
      </c>
      <c r="E37">
        <v>9170000036</v>
      </c>
      <c r="F37" t="s">
        <v>158</v>
      </c>
    </row>
    <row r="38" spans="1:6" x14ac:dyDescent="0.3">
      <c r="A38">
        <v>37</v>
      </c>
      <c r="B38" t="s">
        <v>159</v>
      </c>
      <c r="C38" t="s">
        <v>160</v>
      </c>
      <c r="D38" t="s">
        <v>161</v>
      </c>
      <c r="E38">
        <v>9170000037</v>
      </c>
      <c r="F38" t="s">
        <v>162</v>
      </c>
    </row>
    <row r="39" spans="1:6" x14ac:dyDescent="0.3">
      <c r="A39">
        <v>38</v>
      </c>
      <c r="B39" t="s">
        <v>163</v>
      </c>
      <c r="C39" t="s">
        <v>164</v>
      </c>
      <c r="D39" t="s">
        <v>165</v>
      </c>
      <c r="E39">
        <v>9170000038</v>
      </c>
      <c r="F39" t="s">
        <v>166</v>
      </c>
    </row>
    <row r="40" spans="1:6" x14ac:dyDescent="0.3">
      <c r="A40">
        <v>39</v>
      </c>
      <c r="B40" t="s">
        <v>167</v>
      </c>
      <c r="C40" t="s">
        <v>168</v>
      </c>
      <c r="D40" t="s">
        <v>169</v>
      </c>
      <c r="E40">
        <v>9170000039</v>
      </c>
      <c r="F40" t="s">
        <v>170</v>
      </c>
    </row>
    <row r="41" spans="1:6" x14ac:dyDescent="0.3">
      <c r="A41">
        <v>40</v>
      </c>
      <c r="B41" t="s">
        <v>171</v>
      </c>
      <c r="C41" t="s">
        <v>172</v>
      </c>
      <c r="D41" t="s">
        <v>173</v>
      </c>
      <c r="E41">
        <v>9170000040</v>
      </c>
      <c r="F41" t="s">
        <v>174</v>
      </c>
    </row>
    <row r="42" spans="1:6" x14ac:dyDescent="0.3">
      <c r="A42">
        <v>41</v>
      </c>
      <c r="B42" t="s">
        <v>175</v>
      </c>
      <c r="C42" t="s">
        <v>176</v>
      </c>
      <c r="D42" t="s">
        <v>177</v>
      </c>
      <c r="E42">
        <v>9170000041</v>
      </c>
      <c r="F42" t="s">
        <v>178</v>
      </c>
    </row>
    <row r="43" spans="1:6" x14ac:dyDescent="0.3">
      <c r="A43">
        <v>42</v>
      </c>
      <c r="B43" t="s">
        <v>179</v>
      </c>
      <c r="C43" t="s">
        <v>180</v>
      </c>
      <c r="D43" t="s">
        <v>181</v>
      </c>
      <c r="E43">
        <v>9170000042</v>
      </c>
      <c r="F43" t="s">
        <v>182</v>
      </c>
    </row>
    <row r="44" spans="1:6" x14ac:dyDescent="0.3">
      <c r="A44">
        <v>43</v>
      </c>
      <c r="B44" t="s">
        <v>183</v>
      </c>
      <c r="C44" t="s">
        <v>184</v>
      </c>
      <c r="D44" t="s">
        <v>185</v>
      </c>
      <c r="E44">
        <v>9170000043</v>
      </c>
      <c r="F44" t="s">
        <v>186</v>
      </c>
    </row>
    <row r="45" spans="1:6" x14ac:dyDescent="0.3">
      <c r="A45">
        <v>44</v>
      </c>
      <c r="B45" t="s">
        <v>187</v>
      </c>
      <c r="C45" t="s">
        <v>188</v>
      </c>
      <c r="D45" t="s">
        <v>189</v>
      </c>
      <c r="E45">
        <v>9170000044</v>
      </c>
      <c r="F45" t="s">
        <v>190</v>
      </c>
    </row>
    <row r="46" spans="1:6" x14ac:dyDescent="0.3">
      <c r="A46">
        <v>45</v>
      </c>
      <c r="B46" t="s">
        <v>191</v>
      </c>
      <c r="C46" t="s">
        <v>192</v>
      </c>
      <c r="D46" t="s">
        <v>193</v>
      </c>
      <c r="E46">
        <v>9170000045</v>
      </c>
      <c r="F46" t="s">
        <v>194</v>
      </c>
    </row>
    <row r="47" spans="1:6" x14ac:dyDescent="0.3">
      <c r="A47">
        <v>46</v>
      </c>
      <c r="B47" t="s">
        <v>195</v>
      </c>
      <c r="C47" t="s">
        <v>196</v>
      </c>
      <c r="D47" t="s">
        <v>197</v>
      </c>
      <c r="E47">
        <v>9170000046</v>
      </c>
      <c r="F47" t="s">
        <v>198</v>
      </c>
    </row>
    <row r="48" spans="1:6" x14ac:dyDescent="0.3">
      <c r="A48">
        <v>47</v>
      </c>
      <c r="B48" t="s">
        <v>199</v>
      </c>
      <c r="C48" t="s">
        <v>200</v>
      </c>
      <c r="D48" t="s">
        <v>201</v>
      </c>
      <c r="E48">
        <v>9170000047</v>
      </c>
      <c r="F48" t="s">
        <v>202</v>
      </c>
    </row>
    <row r="49" spans="1:7" x14ac:dyDescent="0.3">
      <c r="A49">
        <v>48</v>
      </c>
      <c r="B49" t="s">
        <v>203</v>
      </c>
      <c r="C49" t="s">
        <v>204</v>
      </c>
      <c r="D49" t="s">
        <v>205</v>
      </c>
      <c r="E49">
        <v>9170000048</v>
      </c>
      <c r="F49" t="s">
        <v>206</v>
      </c>
    </row>
    <row r="50" spans="1:7" x14ac:dyDescent="0.3">
      <c r="A50">
        <v>49</v>
      </c>
      <c r="B50" t="s">
        <v>207</v>
      </c>
      <c r="C50" t="s">
        <v>208</v>
      </c>
      <c r="D50" t="s">
        <v>209</v>
      </c>
      <c r="E50">
        <v>9170000049</v>
      </c>
      <c r="F50" t="s">
        <v>210</v>
      </c>
    </row>
    <row r="51" spans="1:7" x14ac:dyDescent="0.3">
      <c r="A51">
        <v>50</v>
      </c>
      <c r="B51" t="s">
        <v>211</v>
      </c>
      <c r="C51" t="s">
        <v>212</v>
      </c>
      <c r="D51" t="s">
        <v>213</v>
      </c>
      <c r="E51">
        <v>9170000050</v>
      </c>
      <c r="F51" t="s">
        <v>214</v>
      </c>
    </row>
    <row r="52" spans="1:7" x14ac:dyDescent="0.3">
      <c r="A52">
        <v>51</v>
      </c>
      <c r="B52" t="s">
        <v>215</v>
      </c>
      <c r="C52" t="s">
        <v>216</v>
      </c>
      <c r="D52" t="s">
        <v>217</v>
      </c>
      <c r="E52">
        <v>9170000002</v>
      </c>
      <c r="F52" t="s">
        <v>18</v>
      </c>
    </row>
    <row r="53" spans="1:7" x14ac:dyDescent="0.3">
      <c r="A53">
        <v>52</v>
      </c>
      <c r="B53" t="s">
        <v>218</v>
      </c>
      <c r="C53" t="s">
        <v>219</v>
      </c>
      <c r="D53" t="s">
        <v>220</v>
      </c>
      <c r="G53" t="s">
        <v>221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1"/>
  <sheetViews>
    <sheetView workbookViewId="0">
      <selection activeCell="A2" sqref="A2:A51"/>
    </sheetView>
  </sheetViews>
  <sheetFormatPr defaultRowHeight="14.4" x14ac:dyDescent="0.3"/>
  <cols>
    <col min="1" max="1" width="20.109375" customWidth="1"/>
    <col min="2" max="2" width="18" customWidth="1"/>
    <col min="3" max="3" width="14.6640625" customWidth="1"/>
    <col min="4" max="4" width="12.44140625" customWidth="1"/>
    <col min="7" max="7" width="13.33203125" customWidth="1"/>
  </cols>
  <sheetData>
    <row r="1" spans="1:6" x14ac:dyDescent="0.3">
      <c r="A1" t="s">
        <v>222</v>
      </c>
      <c r="B1" t="s">
        <v>223</v>
      </c>
      <c r="C1" t="s">
        <v>224</v>
      </c>
      <c r="D1" t="s">
        <v>225</v>
      </c>
      <c r="E1" t="s">
        <v>226</v>
      </c>
      <c r="F1" t="s">
        <v>227</v>
      </c>
    </row>
    <row r="2" spans="1:6" x14ac:dyDescent="0.3">
      <c r="A2">
        <v>1</v>
      </c>
      <c r="B2" t="s">
        <v>276</v>
      </c>
      <c r="C2">
        <v>3</v>
      </c>
      <c r="D2">
        <v>1</v>
      </c>
      <c r="E2">
        <v>46000</v>
      </c>
      <c r="F2">
        <v>25</v>
      </c>
    </row>
    <row r="3" spans="1:6" x14ac:dyDescent="0.3">
      <c r="A3">
        <v>2</v>
      </c>
      <c r="B3" t="s">
        <v>228</v>
      </c>
      <c r="C3">
        <v>3</v>
      </c>
      <c r="D3">
        <v>2</v>
      </c>
      <c r="E3">
        <v>42000</v>
      </c>
      <c r="F3">
        <v>18</v>
      </c>
    </row>
    <row r="4" spans="1:6" x14ac:dyDescent="0.3">
      <c r="A4">
        <v>3</v>
      </c>
      <c r="B4" t="s">
        <v>229</v>
      </c>
      <c r="C4">
        <v>3</v>
      </c>
      <c r="D4">
        <v>3</v>
      </c>
      <c r="E4">
        <v>40000</v>
      </c>
      <c r="F4">
        <v>20</v>
      </c>
    </row>
    <row r="5" spans="1:6" x14ac:dyDescent="0.3">
      <c r="A5">
        <v>4</v>
      </c>
      <c r="B5" t="s">
        <v>230</v>
      </c>
      <c r="C5">
        <v>4</v>
      </c>
      <c r="D5">
        <v>4</v>
      </c>
      <c r="E5">
        <v>65000</v>
      </c>
      <c r="F5">
        <v>30</v>
      </c>
    </row>
    <row r="6" spans="1:6" x14ac:dyDescent="0.3">
      <c r="A6">
        <v>5</v>
      </c>
      <c r="B6" t="s">
        <v>231</v>
      </c>
      <c r="C6">
        <v>4</v>
      </c>
      <c r="D6">
        <v>5</v>
      </c>
      <c r="E6">
        <v>58000</v>
      </c>
      <c r="F6">
        <v>22</v>
      </c>
    </row>
    <row r="7" spans="1:6" x14ac:dyDescent="0.3">
      <c r="A7">
        <v>6</v>
      </c>
      <c r="B7" t="s">
        <v>232</v>
      </c>
      <c r="C7">
        <v>5</v>
      </c>
      <c r="D7">
        <v>6</v>
      </c>
      <c r="E7">
        <v>38000</v>
      </c>
      <c r="F7">
        <v>15</v>
      </c>
    </row>
    <row r="8" spans="1:6" x14ac:dyDescent="0.3">
      <c r="A8">
        <v>7</v>
      </c>
      <c r="B8" t="s">
        <v>233</v>
      </c>
      <c r="C8">
        <v>6</v>
      </c>
      <c r="D8">
        <v>7</v>
      </c>
      <c r="E8">
        <v>750</v>
      </c>
      <c r="F8">
        <v>100</v>
      </c>
    </row>
    <row r="9" spans="1:6" x14ac:dyDescent="0.3">
      <c r="A9">
        <v>8</v>
      </c>
      <c r="B9" t="s">
        <v>234</v>
      </c>
      <c r="C9">
        <v>6</v>
      </c>
      <c r="D9">
        <v>8</v>
      </c>
      <c r="E9">
        <v>2500</v>
      </c>
      <c r="F9">
        <v>60</v>
      </c>
    </row>
    <row r="10" spans="1:6" x14ac:dyDescent="0.3">
      <c r="A10">
        <v>9</v>
      </c>
      <c r="B10" t="s">
        <v>235</v>
      </c>
      <c r="C10">
        <v>7</v>
      </c>
      <c r="D10">
        <v>9</v>
      </c>
      <c r="E10">
        <v>3200</v>
      </c>
      <c r="F10">
        <v>45</v>
      </c>
    </row>
    <row r="11" spans="1:6" x14ac:dyDescent="0.3">
      <c r="A11">
        <v>10</v>
      </c>
      <c r="B11" t="s">
        <v>236</v>
      </c>
      <c r="C11">
        <v>7</v>
      </c>
      <c r="D11">
        <v>10</v>
      </c>
      <c r="E11">
        <v>8500</v>
      </c>
      <c r="F11">
        <v>12</v>
      </c>
    </row>
    <row r="12" spans="1:6" x14ac:dyDescent="0.3">
      <c r="A12">
        <v>11</v>
      </c>
      <c r="B12" t="s">
        <v>237</v>
      </c>
      <c r="C12">
        <v>9</v>
      </c>
      <c r="D12">
        <v>11</v>
      </c>
      <c r="E12">
        <v>6500</v>
      </c>
      <c r="F12">
        <v>20</v>
      </c>
    </row>
    <row r="13" spans="1:6" x14ac:dyDescent="0.3">
      <c r="A13">
        <v>12</v>
      </c>
      <c r="B13" t="s">
        <v>238</v>
      </c>
      <c r="C13">
        <v>9</v>
      </c>
      <c r="D13">
        <v>12</v>
      </c>
      <c r="E13">
        <v>4200</v>
      </c>
      <c r="F13">
        <v>35</v>
      </c>
    </row>
    <row r="14" spans="1:6" x14ac:dyDescent="0.3">
      <c r="A14">
        <v>13</v>
      </c>
      <c r="B14" t="s">
        <v>239</v>
      </c>
      <c r="C14">
        <v>10</v>
      </c>
      <c r="D14">
        <v>13</v>
      </c>
      <c r="E14">
        <v>28000</v>
      </c>
      <c r="F14">
        <v>10</v>
      </c>
    </row>
    <row r="15" spans="1:6" x14ac:dyDescent="0.3">
      <c r="A15">
        <v>14</v>
      </c>
      <c r="B15" t="s">
        <v>240</v>
      </c>
      <c r="C15">
        <v>10</v>
      </c>
      <c r="D15">
        <v>14</v>
      </c>
      <c r="E15">
        <v>35000</v>
      </c>
      <c r="F15">
        <v>8</v>
      </c>
    </row>
    <row r="16" spans="1:6" x14ac:dyDescent="0.3">
      <c r="A16">
        <v>15</v>
      </c>
      <c r="B16" t="s">
        <v>241</v>
      </c>
      <c r="C16">
        <v>11</v>
      </c>
      <c r="D16">
        <v>15</v>
      </c>
      <c r="E16">
        <v>6500</v>
      </c>
      <c r="F16">
        <v>18</v>
      </c>
    </row>
    <row r="17" spans="1:6" x14ac:dyDescent="0.3">
      <c r="A17">
        <v>16</v>
      </c>
      <c r="B17" t="s">
        <v>242</v>
      </c>
      <c r="C17">
        <v>11</v>
      </c>
      <c r="D17">
        <v>16</v>
      </c>
      <c r="E17">
        <v>2200</v>
      </c>
      <c r="F17">
        <v>50</v>
      </c>
    </row>
    <row r="18" spans="1:6" x14ac:dyDescent="0.3">
      <c r="A18">
        <v>17</v>
      </c>
      <c r="B18" t="s">
        <v>243</v>
      </c>
      <c r="C18">
        <v>12</v>
      </c>
      <c r="D18">
        <v>17</v>
      </c>
      <c r="E18">
        <v>950</v>
      </c>
      <c r="F18">
        <v>40</v>
      </c>
    </row>
    <row r="19" spans="1:6" x14ac:dyDescent="0.3">
      <c r="A19">
        <v>18</v>
      </c>
      <c r="B19" t="s">
        <v>244</v>
      </c>
      <c r="C19">
        <v>13</v>
      </c>
      <c r="D19">
        <v>18</v>
      </c>
      <c r="E19">
        <v>800</v>
      </c>
      <c r="F19">
        <v>55</v>
      </c>
    </row>
    <row r="20" spans="1:6" x14ac:dyDescent="0.3">
      <c r="A20">
        <v>19</v>
      </c>
      <c r="B20" t="s">
        <v>245</v>
      </c>
      <c r="C20">
        <v>14</v>
      </c>
      <c r="D20">
        <v>19</v>
      </c>
      <c r="E20">
        <v>25000</v>
      </c>
      <c r="F20">
        <v>6</v>
      </c>
    </row>
    <row r="21" spans="1:6" x14ac:dyDescent="0.3">
      <c r="A21">
        <v>20</v>
      </c>
      <c r="B21" t="s">
        <v>246</v>
      </c>
      <c r="C21">
        <v>16</v>
      </c>
      <c r="D21">
        <v>20</v>
      </c>
      <c r="E21">
        <v>500</v>
      </c>
      <c r="F21">
        <v>150</v>
      </c>
    </row>
    <row r="22" spans="1:6" x14ac:dyDescent="0.3">
      <c r="A22">
        <v>21</v>
      </c>
      <c r="B22" t="s">
        <v>247</v>
      </c>
      <c r="C22">
        <v>17</v>
      </c>
      <c r="D22">
        <v>21</v>
      </c>
      <c r="E22">
        <v>1200</v>
      </c>
      <c r="F22">
        <v>90</v>
      </c>
    </row>
    <row r="23" spans="1:6" x14ac:dyDescent="0.3">
      <c r="A23">
        <v>22</v>
      </c>
      <c r="B23" t="s">
        <v>248</v>
      </c>
      <c r="C23">
        <v>18</v>
      </c>
      <c r="D23">
        <v>22</v>
      </c>
      <c r="E23">
        <v>850</v>
      </c>
      <c r="F23">
        <v>70</v>
      </c>
    </row>
    <row r="24" spans="1:6" x14ac:dyDescent="0.3">
      <c r="A24">
        <v>23</v>
      </c>
      <c r="B24" t="s">
        <v>249</v>
      </c>
      <c r="C24">
        <v>19</v>
      </c>
      <c r="D24">
        <v>23</v>
      </c>
      <c r="E24">
        <v>3500</v>
      </c>
      <c r="F24">
        <v>45</v>
      </c>
    </row>
    <row r="25" spans="1:6" x14ac:dyDescent="0.3">
      <c r="A25">
        <v>24</v>
      </c>
      <c r="B25" t="s">
        <v>250</v>
      </c>
      <c r="C25">
        <v>20</v>
      </c>
      <c r="D25">
        <v>24</v>
      </c>
      <c r="E25">
        <v>2800</v>
      </c>
      <c r="F25">
        <v>30</v>
      </c>
    </row>
    <row r="26" spans="1:6" x14ac:dyDescent="0.3">
      <c r="A26">
        <v>25</v>
      </c>
      <c r="B26" t="s">
        <v>277</v>
      </c>
      <c r="C26">
        <v>21</v>
      </c>
      <c r="D26">
        <v>25</v>
      </c>
      <c r="E26">
        <v>8500</v>
      </c>
      <c r="F26">
        <v>28</v>
      </c>
    </row>
    <row r="27" spans="1:6" x14ac:dyDescent="0.3">
      <c r="A27">
        <v>26</v>
      </c>
      <c r="B27" t="s">
        <v>251</v>
      </c>
      <c r="C27">
        <v>22</v>
      </c>
      <c r="D27">
        <v>26</v>
      </c>
      <c r="E27">
        <v>18000</v>
      </c>
      <c r="F27">
        <v>10</v>
      </c>
    </row>
    <row r="28" spans="1:6" x14ac:dyDescent="0.3">
      <c r="A28">
        <v>27</v>
      </c>
      <c r="B28" t="s">
        <v>252</v>
      </c>
      <c r="C28">
        <v>23</v>
      </c>
      <c r="D28">
        <v>27</v>
      </c>
      <c r="E28">
        <v>450</v>
      </c>
      <c r="F28">
        <v>120</v>
      </c>
    </row>
    <row r="29" spans="1:6" x14ac:dyDescent="0.3">
      <c r="A29">
        <v>28</v>
      </c>
      <c r="B29" t="s">
        <v>253</v>
      </c>
      <c r="C29">
        <v>24</v>
      </c>
      <c r="D29">
        <v>28</v>
      </c>
      <c r="E29">
        <v>600</v>
      </c>
      <c r="F29">
        <v>80</v>
      </c>
    </row>
    <row r="30" spans="1:6" x14ac:dyDescent="0.3">
      <c r="A30">
        <v>29</v>
      </c>
      <c r="B30" t="s">
        <v>254</v>
      </c>
      <c r="C30">
        <v>25</v>
      </c>
      <c r="D30">
        <v>29</v>
      </c>
      <c r="E30">
        <v>250</v>
      </c>
      <c r="F30">
        <v>200</v>
      </c>
    </row>
    <row r="31" spans="1:6" x14ac:dyDescent="0.3">
      <c r="A31">
        <v>30</v>
      </c>
      <c r="B31" t="s">
        <v>255</v>
      </c>
      <c r="C31">
        <v>26</v>
      </c>
      <c r="D31">
        <v>30</v>
      </c>
      <c r="E31">
        <v>950</v>
      </c>
      <c r="F31">
        <v>40</v>
      </c>
    </row>
    <row r="32" spans="1:6" x14ac:dyDescent="0.3">
      <c r="A32">
        <v>31</v>
      </c>
      <c r="B32" t="s">
        <v>256</v>
      </c>
      <c r="C32">
        <v>27</v>
      </c>
      <c r="D32">
        <v>31</v>
      </c>
      <c r="E32">
        <v>80</v>
      </c>
      <c r="F32">
        <v>300</v>
      </c>
    </row>
    <row r="33" spans="1:6" x14ac:dyDescent="0.3">
      <c r="A33">
        <v>32</v>
      </c>
      <c r="B33" t="s">
        <v>257</v>
      </c>
      <c r="C33">
        <v>28</v>
      </c>
      <c r="D33">
        <v>32</v>
      </c>
      <c r="E33">
        <v>350</v>
      </c>
      <c r="F33">
        <v>110</v>
      </c>
    </row>
    <row r="34" spans="1:6" x14ac:dyDescent="0.3">
      <c r="A34">
        <v>33</v>
      </c>
      <c r="B34" t="s">
        <v>258</v>
      </c>
      <c r="C34">
        <v>29</v>
      </c>
      <c r="D34">
        <v>33</v>
      </c>
      <c r="E34">
        <v>280</v>
      </c>
      <c r="F34">
        <v>95</v>
      </c>
    </row>
    <row r="35" spans="1:6" x14ac:dyDescent="0.3">
      <c r="A35">
        <v>34</v>
      </c>
      <c r="B35" t="s">
        <v>259</v>
      </c>
      <c r="C35">
        <v>30</v>
      </c>
      <c r="D35">
        <v>34</v>
      </c>
      <c r="E35">
        <v>1200</v>
      </c>
      <c r="F35">
        <v>50</v>
      </c>
    </row>
    <row r="36" spans="1:6" x14ac:dyDescent="0.3">
      <c r="A36">
        <v>35</v>
      </c>
      <c r="B36" t="s">
        <v>260</v>
      </c>
      <c r="C36">
        <v>31</v>
      </c>
      <c r="D36">
        <v>35</v>
      </c>
      <c r="E36">
        <v>5500</v>
      </c>
      <c r="F36">
        <v>18</v>
      </c>
    </row>
    <row r="37" spans="1:6" x14ac:dyDescent="0.3">
      <c r="A37">
        <v>36</v>
      </c>
      <c r="B37" t="s">
        <v>261</v>
      </c>
      <c r="C37">
        <v>32</v>
      </c>
      <c r="D37">
        <v>36</v>
      </c>
      <c r="E37">
        <v>2200</v>
      </c>
      <c r="F37">
        <v>35</v>
      </c>
    </row>
    <row r="38" spans="1:6" x14ac:dyDescent="0.3">
      <c r="A38">
        <v>37</v>
      </c>
      <c r="B38" t="s">
        <v>262</v>
      </c>
      <c r="C38">
        <v>33</v>
      </c>
      <c r="D38">
        <v>37</v>
      </c>
      <c r="E38">
        <v>4200</v>
      </c>
      <c r="F38">
        <v>22</v>
      </c>
    </row>
    <row r="39" spans="1:6" x14ac:dyDescent="0.3">
      <c r="A39">
        <v>38</v>
      </c>
      <c r="B39" t="s">
        <v>263</v>
      </c>
      <c r="C39">
        <v>34</v>
      </c>
      <c r="D39">
        <v>38</v>
      </c>
      <c r="E39">
        <v>9800</v>
      </c>
      <c r="F39">
        <v>12</v>
      </c>
    </row>
    <row r="40" spans="1:6" x14ac:dyDescent="0.3">
      <c r="A40">
        <v>39</v>
      </c>
      <c r="B40" t="s">
        <v>264</v>
      </c>
      <c r="C40">
        <v>35</v>
      </c>
      <c r="D40">
        <v>39</v>
      </c>
      <c r="E40">
        <v>7200</v>
      </c>
      <c r="F40">
        <v>16</v>
      </c>
    </row>
    <row r="41" spans="1:6" x14ac:dyDescent="0.3">
      <c r="A41">
        <v>40</v>
      </c>
      <c r="B41" t="s">
        <v>265</v>
      </c>
      <c r="C41">
        <v>36</v>
      </c>
      <c r="D41">
        <v>40</v>
      </c>
      <c r="E41">
        <v>45000</v>
      </c>
      <c r="F41">
        <v>9</v>
      </c>
    </row>
    <row r="42" spans="1:6" x14ac:dyDescent="0.3">
      <c r="A42">
        <v>41</v>
      </c>
      <c r="B42" t="s">
        <v>266</v>
      </c>
      <c r="C42">
        <v>37</v>
      </c>
      <c r="D42">
        <v>41</v>
      </c>
      <c r="E42">
        <v>1800</v>
      </c>
      <c r="F42">
        <v>40</v>
      </c>
    </row>
    <row r="43" spans="1:6" x14ac:dyDescent="0.3">
      <c r="A43">
        <v>42</v>
      </c>
      <c r="B43" t="s">
        <v>267</v>
      </c>
      <c r="C43">
        <v>38</v>
      </c>
      <c r="D43">
        <v>42</v>
      </c>
      <c r="E43">
        <v>32000</v>
      </c>
      <c r="F43">
        <v>14</v>
      </c>
    </row>
    <row r="44" spans="1:6" x14ac:dyDescent="0.3">
      <c r="A44">
        <v>43</v>
      </c>
      <c r="B44" t="s">
        <v>268</v>
      </c>
      <c r="C44">
        <v>39</v>
      </c>
      <c r="D44">
        <v>43</v>
      </c>
      <c r="E44">
        <v>500</v>
      </c>
      <c r="F44">
        <v>60</v>
      </c>
    </row>
    <row r="45" spans="1:6" x14ac:dyDescent="0.3">
      <c r="A45">
        <v>44</v>
      </c>
      <c r="B45" t="s">
        <v>269</v>
      </c>
      <c r="C45">
        <v>40</v>
      </c>
      <c r="D45">
        <v>44</v>
      </c>
      <c r="E45">
        <v>2800</v>
      </c>
      <c r="F45">
        <v>48</v>
      </c>
    </row>
    <row r="46" spans="1:6" x14ac:dyDescent="0.3">
      <c r="A46">
        <v>45</v>
      </c>
      <c r="B46" t="s">
        <v>270</v>
      </c>
      <c r="C46">
        <v>41</v>
      </c>
      <c r="D46">
        <v>45</v>
      </c>
      <c r="E46">
        <v>120</v>
      </c>
      <c r="F46">
        <v>500</v>
      </c>
    </row>
    <row r="47" spans="1:6" x14ac:dyDescent="0.3">
      <c r="A47">
        <v>46</v>
      </c>
      <c r="B47" t="s">
        <v>271</v>
      </c>
      <c r="C47">
        <v>42</v>
      </c>
      <c r="D47">
        <v>46</v>
      </c>
      <c r="E47">
        <v>180</v>
      </c>
      <c r="F47">
        <v>150</v>
      </c>
    </row>
    <row r="48" spans="1:6" x14ac:dyDescent="0.3">
      <c r="A48">
        <v>47</v>
      </c>
      <c r="B48" t="s">
        <v>272</v>
      </c>
      <c r="C48">
        <v>43</v>
      </c>
      <c r="D48">
        <v>47</v>
      </c>
      <c r="E48">
        <v>350</v>
      </c>
      <c r="F48">
        <v>75</v>
      </c>
    </row>
    <row r="49" spans="1:6" x14ac:dyDescent="0.3">
      <c r="A49">
        <v>48</v>
      </c>
      <c r="B49" t="s">
        <v>273</v>
      </c>
      <c r="C49">
        <v>44</v>
      </c>
      <c r="D49">
        <v>48</v>
      </c>
      <c r="E49">
        <v>75</v>
      </c>
      <c r="F49">
        <v>250</v>
      </c>
    </row>
    <row r="50" spans="1:6" x14ac:dyDescent="0.3">
      <c r="A50">
        <v>49</v>
      </c>
      <c r="B50" t="s">
        <v>274</v>
      </c>
      <c r="C50">
        <v>45</v>
      </c>
      <c r="D50">
        <v>49</v>
      </c>
      <c r="E50">
        <v>450</v>
      </c>
      <c r="F50">
        <v>100</v>
      </c>
    </row>
    <row r="51" spans="1:6" x14ac:dyDescent="0.3">
      <c r="A51">
        <v>50</v>
      </c>
      <c r="B51" t="s">
        <v>275</v>
      </c>
      <c r="C51">
        <v>47</v>
      </c>
      <c r="D51">
        <v>50</v>
      </c>
      <c r="E51">
        <v>6500</v>
      </c>
      <c r="F51">
        <v>20</v>
      </c>
    </row>
  </sheetData>
  <sortState xmlns:xlrd2="http://schemas.microsoft.com/office/spreadsheetml/2017/richdata2" ref="A2:F51">
    <sortCondition ref="A2:A5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Dashboarding of sales</vt:lpstr>
      <vt:lpstr>product_name</vt:lpstr>
      <vt:lpstr>dashboard</vt:lpstr>
      <vt:lpstr>Order status</vt:lpstr>
      <vt:lpstr>orders</vt:lpstr>
      <vt:lpstr>customers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jhonathan gonzaga</cp:lastModifiedBy>
  <dcterms:created xsi:type="dcterms:W3CDTF">2026-08-25T04:00:06Z</dcterms:created>
  <dcterms:modified xsi:type="dcterms:W3CDTF">2026-08-27T11:39:04Z</dcterms:modified>
</cp:coreProperties>
</file>